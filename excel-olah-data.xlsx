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M" sheetId="1" r:id="rId5"/>
    <sheet state="visible" name="UNTR" sheetId="2" r:id="rId6"/>
    <sheet state="visible" name="MDKA" sheetId="3" r:id="rId7"/>
    <sheet state="visible" name="MEDC" sheetId="4" r:id="rId8"/>
    <sheet state="visible" name="PSAB" sheetId="5" r:id="rId9"/>
    <sheet state="visible" name="ANALISIS" sheetId="6" r:id="rId10"/>
    <sheet state="visible" name="GRAFIK" sheetId="7" r:id="rId11"/>
  </sheets>
  <definedNames/>
  <calcPr/>
</workbook>
</file>

<file path=xl/sharedStrings.xml><?xml version="1.0" encoding="utf-8"?>
<sst xmlns="http://schemas.openxmlformats.org/spreadsheetml/2006/main" count="739" uniqueCount="607">
  <si>
    <t>Tanggal</t>
  </si>
  <si>
    <t>Terakhir</t>
  </si>
  <si>
    <t>Pembukaan</t>
  </si>
  <si>
    <t>Tertinggi</t>
  </si>
  <si>
    <t>Terendah</t>
  </si>
  <si>
    <t>Vol.</t>
  </si>
  <si>
    <t>Perubahan%</t>
  </si>
  <si>
    <t>Linear</t>
  </si>
  <si>
    <t>Log</t>
  </si>
  <si>
    <t>Grafik Pergerakan Saham</t>
  </si>
  <si>
    <t>2,48M</t>
  </si>
  <si>
    <t>0,70%</t>
  </si>
  <si>
    <t>27,53M</t>
  </si>
  <si>
    <t>114,48M</t>
  </si>
  <si>
    <t>0,81%</t>
  </si>
  <si>
    <t>28,24M</t>
  </si>
  <si>
    <t>0,69%</t>
  </si>
  <si>
    <t>1,46%</t>
  </si>
  <si>
    <t>2,69M</t>
  </si>
  <si>
    <t>1,74%</t>
  </si>
  <si>
    <t>53,69M</t>
  </si>
  <si>
    <t>97,85M</t>
  </si>
  <si>
    <t>1,44%</t>
  </si>
  <si>
    <t>-0,34%</t>
  </si>
  <si>
    <t>36,50M</t>
  </si>
  <si>
    <t>1,61%</t>
  </si>
  <si>
    <t>188,11M</t>
  </si>
  <si>
    <t>2,40%</t>
  </si>
  <si>
    <t>4,63M</t>
  </si>
  <si>
    <t>41,09M</t>
  </si>
  <si>
    <t>1,02%</t>
  </si>
  <si>
    <t>0,00%</t>
  </si>
  <si>
    <t>26,73M</t>
  </si>
  <si>
    <t>-0,40%</t>
  </si>
  <si>
    <t>97,43M</t>
  </si>
  <si>
    <t>26,91M</t>
  </si>
  <si>
    <t>3,36M</t>
  </si>
  <si>
    <t>0,90%</t>
  </si>
  <si>
    <t>20,42M</t>
  </si>
  <si>
    <t>0,40%</t>
  </si>
  <si>
    <t>38,96M</t>
  </si>
  <si>
    <t>-0,95%</t>
  </si>
  <si>
    <t>4,77M</t>
  </si>
  <si>
    <t>0,78%</t>
  </si>
  <si>
    <t>170,17M</t>
  </si>
  <si>
    <t>38,73M</t>
  </si>
  <si>
    <t>1,34%</t>
  </si>
  <si>
    <t>-0,79%</t>
  </si>
  <si>
    <t>2,51M</t>
  </si>
  <si>
    <t>0,11%</t>
  </si>
  <si>
    <t>77,79M</t>
  </si>
  <si>
    <t>-0,99%</t>
  </si>
  <si>
    <t>28,63M</t>
  </si>
  <si>
    <t>126,82M</t>
  </si>
  <si>
    <t>-0,33%</t>
  </si>
  <si>
    <t>2,97M</t>
  </si>
  <si>
    <t>-0,11%</t>
  </si>
  <si>
    <t>77,89M</t>
  </si>
  <si>
    <t>3,19%</t>
  </si>
  <si>
    <t>149,62M</t>
  </si>
  <si>
    <t>0,67%</t>
  </si>
  <si>
    <t>46,93M</t>
  </si>
  <si>
    <t>2,29M</t>
  </si>
  <si>
    <t>2,87%</t>
  </si>
  <si>
    <t>116,56M</t>
  </si>
  <si>
    <t>-1,33%</t>
  </si>
  <si>
    <t>62,66M</t>
  </si>
  <si>
    <t>2,32%</t>
  </si>
  <si>
    <t>-0,55%</t>
  </si>
  <si>
    <t>43,82M</t>
  </si>
  <si>
    <t>-0,93%</t>
  </si>
  <si>
    <t>222,85M</t>
  </si>
  <si>
    <t>7,41%</t>
  </si>
  <si>
    <t>53,83M</t>
  </si>
  <si>
    <t>-1,89%</t>
  </si>
  <si>
    <t>3,35M</t>
  </si>
  <si>
    <t>426,09M</t>
  </si>
  <si>
    <t>2,11%</t>
  </si>
  <si>
    <t>-7,21%</t>
  </si>
  <si>
    <t>51,55M</t>
  </si>
  <si>
    <t>3,76%</t>
  </si>
  <si>
    <t>195,64M</t>
  </si>
  <si>
    <t>2,70%</t>
  </si>
  <si>
    <t>41,07M</t>
  </si>
  <si>
    <t>4,61M</t>
  </si>
  <si>
    <t>-1,15%</t>
  </si>
  <si>
    <t>0,44%</t>
  </si>
  <si>
    <t>107,42M</t>
  </si>
  <si>
    <t>97,76M</t>
  </si>
  <si>
    <t>9,50%</t>
  </si>
  <si>
    <t>10,11M</t>
  </si>
  <si>
    <t>4,12%</t>
  </si>
  <si>
    <t>38,04M</t>
  </si>
  <si>
    <t>-1,95%</t>
  </si>
  <si>
    <t>61,09M</t>
  </si>
  <si>
    <t>-1,98%</t>
  </si>
  <si>
    <t>95,89M</t>
  </si>
  <si>
    <t>4,36M</t>
  </si>
  <si>
    <t>55,68M</t>
  </si>
  <si>
    <t>1,24%</t>
  </si>
  <si>
    <t>0,94%</t>
  </si>
  <si>
    <t>0,79%</t>
  </si>
  <si>
    <t>85,13M</t>
  </si>
  <si>
    <t>53,89M</t>
  </si>
  <si>
    <t>1,01%</t>
  </si>
  <si>
    <t>2,56M</t>
  </si>
  <si>
    <t>-1,55%</t>
  </si>
  <si>
    <t>114,10M</t>
  </si>
  <si>
    <t>42,39M</t>
  </si>
  <si>
    <t>-4,49%</t>
  </si>
  <si>
    <t>1,18%</t>
  </si>
  <si>
    <t>58,85M</t>
  </si>
  <si>
    <t>62,70M</t>
  </si>
  <si>
    <t>4,27%</t>
  </si>
  <si>
    <t>29,40M</t>
  </si>
  <si>
    <t>-2,72%</t>
  </si>
  <si>
    <t>235,21M</t>
  </si>
  <si>
    <t>-4,68%</t>
  </si>
  <si>
    <t>3,84M</t>
  </si>
  <si>
    <t>1,36%</t>
  </si>
  <si>
    <t>102,02M</t>
  </si>
  <si>
    <t>63,78M</t>
  </si>
  <si>
    <t>1,05%</t>
  </si>
  <si>
    <t>-0,82%</t>
  </si>
  <si>
    <t>17,24M</t>
  </si>
  <si>
    <t>1,60%</t>
  </si>
  <si>
    <t>2,66M</t>
  </si>
  <si>
    <t>-0,10%</t>
  </si>
  <si>
    <t>75,54M</t>
  </si>
  <si>
    <t>1,04%</t>
  </si>
  <si>
    <t>24,95M</t>
  </si>
  <si>
    <t>55,40M</t>
  </si>
  <si>
    <t>-2,07%</t>
  </si>
  <si>
    <t>3,94%</t>
  </si>
  <si>
    <t>3,18M</t>
  </si>
  <si>
    <t>0,93%</t>
  </si>
  <si>
    <t>151,09M</t>
  </si>
  <si>
    <t>1,03%</t>
  </si>
  <si>
    <t>Grafik Nilai Daily Return</t>
  </si>
  <si>
    <t>92,62M</t>
  </si>
  <si>
    <t>0,38%</t>
  </si>
  <si>
    <t>9,28%</t>
  </si>
  <si>
    <t>192,18M</t>
  </si>
  <si>
    <t>4,02M</t>
  </si>
  <si>
    <t>4,76%</t>
  </si>
  <si>
    <t>-0,92%</t>
  </si>
  <si>
    <t>222,00M</t>
  </si>
  <si>
    <t>2,27%</t>
  </si>
  <si>
    <t>41,57M</t>
  </si>
  <si>
    <t>-3,02%</t>
  </si>
  <si>
    <t>2,34M</t>
  </si>
  <si>
    <t>-0,52%</t>
  </si>
  <si>
    <t>94,24M</t>
  </si>
  <si>
    <t>1,93%</t>
  </si>
  <si>
    <t>102,08M</t>
  </si>
  <si>
    <t>-1,90%</t>
  </si>
  <si>
    <t>3,63M</t>
  </si>
  <si>
    <t>1,98%</t>
  </si>
  <si>
    <t>54,32M</t>
  </si>
  <si>
    <t>-4,67%</t>
  </si>
  <si>
    <t>72,34M</t>
  </si>
  <si>
    <t>141,89M</t>
  </si>
  <si>
    <t>-3,41%</t>
  </si>
  <si>
    <t>-4,85%</t>
  </si>
  <si>
    <t>1,86M</t>
  </si>
  <si>
    <t>-0,61%</t>
  </si>
  <si>
    <t>111,65M</t>
  </si>
  <si>
    <t>-1,36%</t>
  </si>
  <si>
    <t>41,00M</t>
  </si>
  <si>
    <t>96,08M</t>
  </si>
  <si>
    <t>-1,63%</t>
  </si>
  <si>
    <t>-7,45%</t>
  </si>
  <si>
    <t>112,93M</t>
  </si>
  <si>
    <t>5,23M</t>
  </si>
  <si>
    <t>0,34%</t>
  </si>
  <si>
    <t>-1,23%</t>
  </si>
  <si>
    <t>47,59M</t>
  </si>
  <si>
    <t>3,81%</t>
  </si>
  <si>
    <t>33,71M</t>
  </si>
  <si>
    <t>-2,49%</t>
  </si>
  <si>
    <t>109,60M</t>
  </si>
  <si>
    <t>-0,69%</t>
  </si>
  <si>
    <t>2,60M</t>
  </si>
  <si>
    <t>0,21%</t>
  </si>
  <si>
    <t>59,23M</t>
  </si>
  <si>
    <t>0,35%</t>
  </si>
  <si>
    <t>26,52M</t>
  </si>
  <si>
    <t>48,56M</t>
  </si>
  <si>
    <t>-3,67%</t>
  </si>
  <si>
    <t>2,36M</t>
  </si>
  <si>
    <t>111,57M</t>
  </si>
  <si>
    <t>-3,10%</t>
  </si>
  <si>
    <t>66,68M</t>
  </si>
  <si>
    <t>1,92M</t>
  </si>
  <si>
    <t>5,53%</t>
  </si>
  <si>
    <t>0,52%</t>
  </si>
  <si>
    <t>67,29M</t>
  </si>
  <si>
    <t>1,07%</t>
  </si>
  <si>
    <t>30,96M</t>
  </si>
  <si>
    <t>-1,27%</t>
  </si>
  <si>
    <t>66,40M</t>
  </si>
  <si>
    <t>-0,35%</t>
  </si>
  <si>
    <t>2,65M</t>
  </si>
  <si>
    <t>-0,31%</t>
  </si>
  <si>
    <t>21,86M</t>
  </si>
  <si>
    <t>-2,82%</t>
  </si>
  <si>
    <t>29,42M</t>
  </si>
  <si>
    <t>3,62M</t>
  </si>
  <si>
    <t>-0,83%</t>
  </si>
  <si>
    <t>31,34M</t>
  </si>
  <si>
    <t>33,25M</t>
  </si>
  <si>
    <t>3,00%</t>
  </si>
  <si>
    <t>2,90%</t>
  </si>
  <si>
    <t>72,07M</t>
  </si>
  <si>
    <t>1,77%</t>
  </si>
  <si>
    <t>2,14M</t>
  </si>
  <si>
    <t>0,73%</t>
  </si>
  <si>
    <t>84,36M</t>
  </si>
  <si>
    <t>21,71M</t>
  </si>
  <si>
    <t>-1,61%</t>
  </si>
  <si>
    <t>61,28M</t>
  </si>
  <si>
    <t>3,75%</t>
  </si>
  <si>
    <t>1,94M</t>
  </si>
  <si>
    <t>-0,72%</t>
  </si>
  <si>
    <t>135,73M</t>
  </si>
  <si>
    <t>2,78%</t>
  </si>
  <si>
    <t>26,58M</t>
  </si>
  <si>
    <t>43,75M</t>
  </si>
  <si>
    <t>-0,80%</t>
  </si>
  <si>
    <t>3,28%</t>
  </si>
  <si>
    <t>121,88M</t>
  </si>
  <si>
    <t>0,68%</t>
  </si>
  <si>
    <t>3,96M</t>
  </si>
  <si>
    <t>-1,35%</t>
  </si>
  <si>
    <t>222,60M</t>
  </si>
  <si>
    <t>2,01%</t>
  </si>
  <si>
    <t>18,32M</t>
  </si>
  <si>
    <t>30,41M</t>
  </si>
  <si>
    <t>2,61M</t>
  </si>
  <si>
    <t>-2,78%</t>
  </si>
  <si>
    <t>-3,24%</t>
  </si>
  <si>
    <t>3,06%</t>
  </si>
  <si>
    <t>545,68M</t>
  </si>
  <si>
    <t>5,26%</t>
  </si>
  <si>
    <t>10,58M</t>
  </si>
  <si>
    <t>5,74%</t>
  </si>
  <si>
    <t>15,75M</t>
  </si>
  <si>
    <t>68,54M</t>
  </si>
  <si>
    <t>-4,60%</t>
  </si>
  <si>
    <t>441,94M</t>
  </si>
  <si>
    <t>8,44%</t>
  </si>
  <si>
    <t>4,91M</t>
  </si>
  <si>
    <t>17,37M</t>
  </si>
  <si>
    <t>393,01M</t>
  </si>
  <si>
    <t>0,29%</t>
  </si>
  <si>
    <t>74,27M</t>
  </si>
  <si>
    <t>5,21M</t>
  </si>
  <si>
    <t>-2,23%</t>
  </si>
  <si>
    <t>35,25M</t>
  </si>
  <si>
    <t>-3,27%</t>
  </si>
  <si>
    <t>142,47M</t>
  </si>
  <si>
    <t>-2,59%</t>
  </si>
  <si>
    <t>44,52M</t>
  </si>
  <si>
    <t>-0,44%</t>
  </si>
  <si>
    <t>6,67M</t>
  </si>
  <si>
    <t>-2,48%</t>
  </si>
  <si>
    <t>400,45M</t>
  </si>
  <si>
    <t>6,49%</t>
  </si>
  <si>
    <t>29,39M</t>
  </si>
  <si>
    <t>1,27%</t>
  </si>
  <si>
    <t>2,37M</t>
  </si>
  <si>
    <t>1,63%</t>
  </si>
  <si>
    <t>22,86M</t>
  </si>
  <si>
    <t>-2,20%</t>
  </si>
  <si>
    <t>514,31M</t>
  </si>
  <si>
    <t>1,39%</t>
  </si>
  <si>
    <t>28,23M</t>
  </si>
  <si>
    <t>3,33%</t>
  </si>
  <si>
    <t>2,57M</t>
  </si>
  <si>
    <t>-1,30%</t>
  </si>
  <si>
    <t>40,22M</t>
  </si>
  <si>
    <t>4,05%</t>
  </si>
  <si>
    <t>192,13M</t>
  </si>
  <si>
    <t>-4,10%</t>
  </si>
  <si>
    <t>19,41M</t>
  </si>
  <si>
    <t>-1,11%</t>
  </si>
  <si>
    <t>174,84M</t>
  </si>
  <si>
    <t>32,85M</t>
  </si>
  <si>
    <t>-3,42%</t>
  </si>
  <si>
    <t>0,43%</t>
  </si>
  <si>
    <t>4,45M</t>
  </si>
  <si>
    <t>0,31%</t>
  </si>
  <si>
    <t>25,12M</t>
  </si>
  <si>
    <t>-1,21%</t>
  </si>
  <si>
    <t>126,31M</t>
  </si>
  <si>
    <t>2,95%</t>
  </si>
  <si>
    <t>26,74M</t>
  </si>
  <si>
    <t>-1,72%</t>
  </si>
  <si>
    <t>5,20M</t>
  </si>
  <si>
    <t>5,82%</t>
  </si>
  <si>
    <t>105,00M</t>
  </si>
  <si>
    <t>14,74M</t>
  </si>
  <si>
    <t>-1,22%</t>
  </si>
  <si>
    <t>150,01M</t>
  </si>
  <si>
    <t>3,15%</t>
  </si>
  <si>
    <t>5,08M</t>
  </si>
  <si>
    <t>-1,16%</t>
  </si>
  <si>
    <t>20,38M</t>
  </si>
  <si>
    <t>-1,24%</t>
  </si>
  <si>
    <t>138,76M</t>
  </si>
  <si>
    <t>-3,89%</t>
  </si>
  <si>
    <t>13,70M</t>
  </si>
  <si>
    <t>117,20M</t>
  </si>
  <si>
    <t>-0,98%</t>
  </si>
  <si>
    <t>37,22M</t>
  </si>
  <si>
    <t>-0,88%</t>
  </si>
  <si>
    <t>164,30M</t>
  </si>
  <si>
    <t>0,88%</t>
  </si>
  <si>
    <t>11,78M</t>
  </si>
  <si>
    <t>4,34%</t>
  </si>
  <si>
    <t>59,86M</t>
  </si>
  <si>
    <t>128,25M</t>
  </si>
  <si>
    <t>3,77%</t>
  </si>
  <si>
    <t>31,52M</t>
  </si>
  <si>
    <t>-2,51%</t>
  </si>
  <si>
    <t>8,89M</t>
  </si>
  <si>
    <t>2,84%</t>
  </si>
  <si>
    <t>85,28M</t>
  </si>
  <si>
    <t>212,81M</t>
  </si>
  <si>
    <t>7,17%</t>
  </si>
  <si>
    <t>2,51%</t>
  </si>
  <si>
    <t>22,94M</t>
  </si>
  <si>
    <t>3,13M</t>
  </si>
  <si>
    <t>-2,58%</t>
  </si>
  <si>
    <t>-3,13%</t>
  </si>
  <si>
    <t>173,51M</t>
  </si>
  <si>
    <t>-5,45%</t>
  </si>
  <si>
    <t>102,90M</t>
  </si>
  <si>
    <t>5,02%</t>
  </si>
  <si>
    <t>2,94M</t>
  </si>
  <si>
    <t>0,66%</t>
  </si>
  <si>
    <t>400,10M</t>
  </si>
  <si>
    <t>-8,65%</t>
  </si>
  <si>
    <t>46,60M</t>
  </si>
  <si>
    <t>7,93%</t>
  </si>
  <si>
    <t>112,82M</t>
  </si>
  <si>
    <t>-1,59%</t>
  </si>
  <si>
    <t>2,22M</t>
  </si>
  <si>
    <t>-0,19%</t>
  </si>
  <si>
    <t>164,73M</t>
  </si>
  <si>
    <t>1,26%</t>
  </si>
  <si>
    <t>148,73M</t>
  </si>
  <si>
    <t>2,80%</t>
  </si>
  <si>
    <t>34,19M</t>
  </si>
  <si>
    <t>2,04%</t>
  </si>
  <si>
    <t>3,31M</t>
  </si>
  <si>
    <t>129,40M</t>
  </si>
  <si>
    <t>-0,66%</t>
  </si>
  <si>
    <t>209,92M</t>
  </si>
  <si>
    <t>-4,24%</t>
  </si>
  <si>
    <t>2,32M</t>
  </si>
  <si>
    <t>1,52%</t>
  </si>
  <si>
    <t>36,44M</t>
  </si>
  <si>
    <t>113,69M</t>
  </si>
  <si>
    <t>3,21%</t>
  </si>
  <si>
    <t>125,66M</t>
  </si>
  <si>
    <t>1,58%</t>
  </si>
  <si>
    <t>2,79M</t>
  </si>
  <si>
    <t>1,12%</t>
  </si>
  <si>
    <t>133,10M</t>
  </si>
  <si>
    <t>-3,12%</t>
  </si>
  <si>
    <t>20,58M</t>
  </si>
  <si>
    <t>-2,80%</t>
  </si>
  <si>
    <t>79,18M</t>
  </si>
  <si>
    <t>-0,78%</t>
  </si>
  <si>
    <t>98,38M</t>
  </si>
  <si>
    <t>2,89%</t>
  </si>
  <si>
    <t>-2,22%</t>
  </si>
  <si>
    <t>20,55M</t>
  </si>
  <si>
    <t>1,23%</t>
  </si>
  <si>
    <t>111,58M</t>
  </si>
  <si>
    <t>191,36M</t>
  </si>
  <si>
    <t>2,75%</t>
  </si>
  <si>
    <t>3,61M</t>
  </si>
  <si>
    <t>1,33%</t>
  </si>
  <si>
    <t>19,79M</t>
  </si>
  <si>
    <t>184,32M</t>
  </si>
  <si>
    <t>114,79M</t>
  </si>
  <si>
    <t>0,76%</t>
  </si>
  <si>
    <t>-1,57%</t>
  </si>
  <si>
    <t>2,09M</t>
  </si>
  <si>
    <t>21,37M</t>
  </si>
  <si>
    <t>-0,81%</t>
  </si>
  <si>
    <t>228,14M</t>
  </si>
  <si>
    <t>303,47M</t>
  </si>
  <si>
    <t>6,05%</t>
  </si>
  <si>
    <t>3,28M</t>
  </si>
  <si>
    <t>1,68%</t>
  </si>
  <si>
    <t>15,99M</t>
  </si>
  <si>
    <t>110,72M</t>
  </si>
  <si>
    <t>0,82%</t>
  </si>
  <si>
    <t>-3,70%</t>
  </si>
  <si>
    <t>2,91M</t>
  </si>
  <si>
    <t>-2,02%</t>
  </si>
  <si>
    <t>106,31M</t>
  </si>
  <si>
    <t>-3,85%</t>
  </si>
  <si>
    <t>17,00M</t>
  </si>
  <si>
    <t>2,23M</t>
  </si>
  <si>
    <t>1,22%</t>
  </si>
  <si>
    <t>0,09%</t>
  </si>
  <si>
    <t>69,26M</t>
  </si>
  <si>
    <t>1,20%</t>
  </si>
  <si>
    <t>1,81M</t>
  </si>
  <si>
    <t>69,44M</t>
  </si>
  <si>
    <t>4,42%</t>
  </si>
  <si>
    <t>65,98M</t>
  </si>
  <si>
    <t>2,71M</t>
  </si>
  <si>
    <t>2,18%</t>
  </si>
  <si>
    <t>73,30M</t>
  </si>
  <si>
    <t>1,54%</t>
  </si>
  <si>
    <t>3,30M</t>
  </si>
  <si>
    <t>-0,56%</t>
  </si>
  <si>
    <t>70,58M</t>
  </si>
  <si>
    <t>34,61M</t>
  </si>
  <si>
    <t>-2,65%</t>
  </si>
  <si>
    <t>3,45M</t>
  </si>
  <si>
    <t>-2,71%</t>
  </si>
  <si>
    <t>58,92M</t>
  </si>
  <si>
    <t>-1,97%</t>
  </si>
  <si>
    <t>22,52M</t>
  </si>
  <si>
    <t>1,12M</t>
  </si>
  <si>
    <t>127,65M</t>
  </si>
  <si>
    <t>-4,82%</t>
  </si>
  <si>
    <t>29,29M</t>
  </si>
  <si>
    <t>2,10M</t>
  </si>
  <si>
    <t>23,66M</t>
  </si>
  <si>
    <t>-0,38%</t>
  </si>
  <si>
    <t>108,09M</t>
  </si>
  <si>
    <t>0,42%</t>
  </si>
  <si>
    <t>27,41M</t>
  </si>
  <si>
    <t>4,11M</t>
  </si>
  <si>
    <t>-3,03%</t>
  </si>
  <si>
    <t>140,18M</t>
  </si>
  <si>
    <t>5,88%</t>
  </si>
  <si>
    <t>84,59M</t>
  </si>
  <si>
    <t>222,01M</t>
  </si>
  <si>
    <t>41,45M</t>
  </si>
  <si>
    <t>2,33M</t>
  </si>
  <si>
    <t>-1,66%</t>
  </si>
  <si>
    <t>199,31M</t>
  </si>
  <si>
    <t>-6,94%</t>
  </si>
  <si>
    <t>51,03M</t>
  </si>
  <si>
    <t>2,59%</t>
  </si>
  <si>
    <t>224,40M</t>
  </si>
  <si>
    <t>-9,21%</t>
  </si>
  <si>
    <t>39,33M</t>
  </si>
  <si>
    <t>-1,08%</t>
  </si>
  <si>
    <t>181,87M</t>
  </si>
  <si>
    <t>7,25%</t>
  </si>
  <si>
    <t>48,94M</t>
  </si>
  <si>
    <t>1,82%</t>
  </si>
  <si>
    <t>129,03M</t>
  </si>
  <si>
    <t>-0,90%</t>
  </si>
  <si>
    <t>32,26M</t>
  </si>
  <si>
    <t>1,79%</t>
  </si>
  <si>
    <t>95,78M</t>
  </si>
  <si>
    <t>-4,09%</t>
  </si>
  <si>
    <t>172,28M</t>
  </si>
  <si>
    <t>6,69%</t>
  </si>
  <si>
    <t>148,91M</t>
  </si>
  <si>
    <t>-2,37%</t>
  </si>
  <si>
    <t>121,10M</t>
  </si>
  <si>
    <t>138,15M</t>
  </si>
  <si>
    <t>2,91%</t>
  </si>
  <si>
    <t>323,06M</t>
  </si>
  <si>
    <t>5,61%</t>
  </si>
  <si>
    <t>33,88M</t>
  </si>
  <si>
    <t>125,50M</t>
  </si>
  <si>
    <t>-1,25%</t>
  </si>
  <si>
    <t>51,20M</t>
  </si>
  <si>
    <t>0,47%</t>
  </si>
  <si>
    <t>119,50M</t>
  </si>
  <si>
    <t>5,16%</t>
  </si>
  <si>
    <t>106,17M</t>
  </si>
  <si>
    <t>RETURN</t>
  </si>
  <si>
    <t>ANTM</t>
  </si>
  <si>
    <t>UNTR</t>
  </si>
  <si>
    <t>MDKA</t>
  </si>
  <si>
    <t>MEDC</t>
  </si>
  <si>
    <t>PSAB</t>
  </si>
  <si>
    <t>MATRIKS VARIANS - KOVARIAN</t>
  </si>
  <si>
    <t>ASET INDIVIDU</t>
  </si>
  <si>
    <t>NAMA</t>
  </si>
  <si>
    <t>μ</t>
  </si>
  <si>
    <t>σ</t>
  </si>
  <si>
    <t>μ/σ</t>
  </si>
  <si>
    <t>561,10M</t>
  </si>
  <si>
    <t>5,98%</t>
  </si>
  <si>
    <t>366,71M</t>
  </si>
  <si>
    <t>-3,31%</t>
  </si>
  <si>
    <t>261,10M</t>
  </si>
  <si>
    <t>9,01%</t>
  </si>
  <si>
    <t>66,34M</t>
  </si>
  <si>
    <t>-2,63%</t>
  </si>
  <si>
    <t>73,12M</t>
  </si>
  <si>
    <t>-0,87%</t>
  </si>
  <si>
    <t>112,55M</t>
  </si>
  <si>
    <t>3,60%</t>
  </si>
  <si>
    <t>205,35M</t>
  </si>
  <si>
    <t>-3,48%</t>
  </si>
  <si>
    <t>212,32M</t>
  </si>
  <si>
    <t>5,50%</t>
  </si>
  <si>
    <t>67,15M</t>
  </si>
  <si>
    <t>4,81%</t>
  </si>
  <si>
    <t>68,20M</t>
  </si>
  <si>
    <t>103,97M</t>
  </si>
  <si>
    <t>-6,14%</t>
  </si>
  <si>
    <t>208,07M</t>
  </si>
  <si>
    <t>3,64%</t>
  </si>
  <si>
    <t>98,53M</t>
  </si>
  <si>
    <t>96,59M</t>
  </si>
  <si>
    <t>96,00M</t>
  </si>
  <si>
    <t>102,91M</t>
  </si>
  <si>
    <t>-4,42%</t>
  </si>
  <si>
    <t>158,17M</t>
  </si>
  <si>
    <t>394,55M</t>
  </si>
  <si>
    <t>266,59M</t>
  </si>
  <si>
    <t>10,58%</t>
  </si>
  <si>
    <t>135,20M</t>
  </si>
  <si>
    <t>225,30M</t>
  </si>
  <si>
    <t>406,42M</t>
  </si>
  <si>
    <t>-2,56%</t>
  </si>
  <si>
    <t>745,08M</t>
  </si>
  <si>
    <t>3,54%</t>
  </si>
  <si>
    <t>304,81M</t>
  </si>
  <si>
    <t>-7,38%</t>
  </si>
  <si>
    <t>329,14M</t>
  </si>
  <si>
    <t>1,67%</t>
  </si>
  <si>
    <t>371,99M</t>
  </si>
  <si>
    <t>0,84%</t>
  </si>
  <si>
    <t>728,06M</t>
  </si>
  <si>
    <t>-4,03%</t>
  </si>
  <si>
    <t>1,49B</t>
  </si>
  <si>
    <t>12,73%</t>
  </si>
  <si>
    <t>795,16M</t>
  </si>
  <si>
    <t>25,00%</t>
  </si>
  <si>
    <t>123,34M</t>
  </si>
  <si>
    <t>-0,45%</t>
  </si>
  <si>
    <t>334,44M</t>
  </si>
  <si>
    <t>-3,07%</t>
  </si>
  <si>
    <t>243,55M</t>
  </si>
  <si>
    <t>8,06%</t>
  </si>
  <si>
    <t>94,21M</t>
  </si>
  <si>
    <t>-1,40%</t>
  </si>
  <si>
    <t>137,54M</t>
  </si>
  <si>
    <t>-3,17%</t>
  </si>
  <si>
    <t>142,12M</t>
  </si>
  <si>
    <t>326,33M</t>
  </si>
  <si>
    <t>7,77%</t>
  </si>
  <si>
    <t>119,60M</t>
  </si>
  <si>
    <t>0,49%</t>
  </si>
  <si>
    <t>106,98M</t>
  </si>
  <si>
    <t>-1,44%</t>
  </si>
  <si>
    <t>162,02M</t>
  </si>
  <si>
    <t>4,00%</t>
  </si>
  <si>
    <t>124,49M</t>
  </si>
  <si>
    <t>-2,44%</t>
  </si>
  <si>
    <t>95,76M</t>
  </si>
  <si>
    <t>-2,38%</t>
  </si>
  <si>
    <t>87,95M</t>
  </si>
  <si>
    <t>-0,94%</t>
  </si>
  <si>
    <t>129,65M</t>
  </si>
  <si>
    <t>169,72M</t>
  </si>
  <si>
    <t>6,00%</t>
  </si>
  <si>
    <t>80,35M</t>
  </si>
  <si>
    <t>115,07M</t>
  </si>
  <si>
    <t>112,46M</t>
  </si>
  <si>
    <t>-1,96%</t>
  </si>
  <si>
    <t>91,18M</t>
  </si>
  <si>
    <t>-0,49%</t>
  </si>
  <si>
    <t>80,61M</t>
  </si>
  <si>
    <t>107,55M</t>
  </si>
  <si>
    <t>2,44%</t>
  </si>
  <si>
    <t>89,87M</t>
  </si>
  <si>
    <t>140,91M</t>
  </si>
  <si>
    <t>-5,53%</t>
  </si>
  <si>
    <t>89,79M</t>
  </si>
  <si>
    <t>-1,81%</t>
  </si>
  <si>
    <t>107,15M</t>
  </si>
  <si>
    <t>0,91%</t>
  </si>
  <si>
    <t>238,24M</t>
  </si>
  <si>
    <t>-7,20%</t>
  </si>
  <si>
    <t>138,33M</t>
  </si>
  <si>
    <t>3,51%</t>
  </si>
  <si>
    <t>136,67M</t>
  </si>
  <si>
    <t>199,54M</t>
  </si>
  <si>
    <t>95,36M</t>
  </si>
  <si>
    <t>1,37%</t>
  </si>
  <si>
    <t>97,84M</t>
  </si>
  <si>
    <t>133,02M</t>
  </si>
  <si>
    <t>83,95M</t>
  </si>
  <si>
    <t>0,92%</t>
  </si>
  <si>
    <t>86,82M</t>
  </si>
  <si>
    <t>0,46%</t>
  </si>
  <si>
    <t>79,25M</t>
  </si>
  <si>
    <t>-0,46%</t>
  </si>
  <si>
    <t>88,04M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</si>
</sst>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Arial"/>
    </font>
    <font>
      <sz val="10.0"/>
      <color theme="1"/>
      <name val="Arial"/>
    </font>
    <font>
      <color theme="1"/>
      <name val="Calibri"/>
      <scheme val="minor"/>
    </font>
    <font/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Arial"/>
    </font>
    <font>
      <i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14" xfId="0" applyAlignment="1" applyFill="1" applyFont="1" applyNumberFormat="1">
      <alignment horizontal="center"/>
    </xf>
    <xf borderId="0" fillId="0" fontId="1" numFmtId="0" xfId="0" applyAlignment="1" applyFont="1">
      <alignment horizontal="center"/>
    </xf>
    <xf borderId="0" fillId="2" fontId="1" numFmtId="2" xfId="0" applyAlignment="1" applyFill="1" applyFont="1" applyNumberFormat="1">
      <alignment horizontal="center"/>
    </xf>
    <xf borderId="0" fillId="3" fontId="1" numFmtId="0" xfId="0" applyAlignment="1" applyFill="1" applyFont="1">
      <alignment horizontal="center"/>
    </xf>
    <xf borderId="0" fillId="0" fontId="1" numFmtId="0" xfId="0" applyFont="1"/>
    <xf borderId="0" fillId="4" fontId="1" numFmtId="0" xfId="0" applyAlignment="1" applyFill="1" applyFont="1">
      <alignment horizontal="left"/>
    </xf>
    <xf borderId="0" fillId="0" fontId="2" numFmtId="0" xfId="0" applyFont="1"/>
    <xf borderId="0" fillId="4" fontId="1" numFmtId="0" xfId="0" applyFill="1" applyFont="1"/>
    <xf borderId="0" fillId="0" fontId="2" numFmtId="14" xfId="0" applyFont="1" applyNumberFormat="1"/>
    <xf borderId="0" fillId="0" fontId="2" numFmtId="2" xfId="0" applyFont="1" applyNumberFormat="1"/>
    <xf borderId="0" fillId="0" fontId="3" numFmtId="0" xfId="0" applyFont="1"/>
    <xf borderId="1" fillId="4" fontId="1" numFmtId="14" xfId="0" applyAlignment="1" applyBorder="1" applyFill="1" applyFont="1" applyNumberFormat="1">
      <alignment horizontal="center"/>
    </xf>
    <xf borderId="2" fillId="0" fontId="4" numFmtId="0" xfId="0" applyBorder="1" applyFont="1"/>
    <xf borderId="3" fillId="0" fontId="4" numFmtId="0" xfId="0" applyBorder="1" applyFont="1"/>
    <xf borderId="4" fillId="3" fontId="1" numFmtId="14" xfId="0" applyBorder="1" applyFill="1" applyFont="1" applyNumberFormat="1"/>
    <xf borderId="5" fillId="3" fontId="5" numFmtId="0" xfId="0" applyBorder="1" applyFill="1" applyFont="1"/>
    <xf borderId="4" fillId="3" fontId="5" numFmtId="0" xfId="0" applyBorder="1" applyFill="1" applyFont="1"/>
    <xf borderId="4" fillId="3" fontId="1" numFmtId="0" xfId="0" applyBorder="1" applyFill="1" applyFont="1"/>
    <xf borderId="1" fillId="4" fontId="5" numFmtId="0" xfId="0" applyAlignment="1" applyBorder="1" applyFill="1" applyFont="1">
      <alignment horizontal="center"/>
    </xf>
    <xf borderId="1" fillId="3" fontId="5" numFmtId="0" xfId="0" applyAlignment="1" applyBorder="1" applyFill="1" applyFont="1">
      <alignment horizontal="center"/>
    </xf>
    <xf borderId="6" fillId="0" fontId="2" numFmtId="14" xfId="0" applyBorder="1" applyFont="1" applyNumberForma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4" fillId="2" fontId="5" numFmtId="0" xfId="0" applyBorder="1" applyFill="1" applyFont="1"/>
    <xf borderId="4" fillId="2" fontId="7" numFmtId="0" xfId="0" applyBorder="1" applyFill="1" applyFont="1"/>
    <xf borderId="10" fillId="2" fontId="5" numFmtId="0" xfId="0" applyBorder="1" applyFill="1" applyFont="1"/>
    <xf borderId="11" fillId="2" fontId="5" numFmtId="0" xfId="0" applyBorder="1" applyFill="1" applyFont="1"/>
    <xf borderId="12" fillId="0" fontId="6" numFmtId="0" xfId="0" applyBorder="1" applyFont="1"/>
    <xf borderId="13" fillId="0" fontId="6" numFmtId="0" xfId="0" applyBorder="1" applyFont="1"/>
    <xf borderId="14" fillId="2" fontId="5" numFmtId="0" xfId="0" applyBorder="1" applyFill="1" applyFont="1"/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0" fillId="0" fontId="8" numFmtId="0" xfId="0" applyAlignment="1" applyFont="1">
      <alignment horizontal="center"/>
    </xf>
    <xf borderId="0" fillId="0" fontId="6" numFmtId="0" xfId="0" applyFont="1"/>
    <xf borderId="0" fillId="0" fontId="6" numFmtId="11" xfId="0" applyFont="1" applyNumberFormat="1"/>
    <xf borderId="18" fillId="0" fontId="2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ANTM!$A$2:$A$66</c:f>
            </c:strRef>
          </c:cat>
          <c:val>
            <c:numRef>
              <c:f>ANTM!$B$2:$B$66</c:f>
              <c:numCache/>
            </c:numRef>
          </c:val>
          <c:smooth val="0"/>
        </c:ser>
        <c:axId val="1267555847"/>
        <c:axId val="885992800"/>
      </c:lineChart>
      <c:catAx>
        <c:axId val="1267555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5992800"/>
      </c:catAx>
      <c:valAx>
        <c:axId val="885992800"/>
        <c:scaling>
          <c:orientation val="minMax"/>
          <c:min val="250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6755584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Linear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ANTM!$A$2:$A$66</c:f>
            </c:strRef>
          </c:cat>
          <c:val>
            <c:numRef>
              <c:f>ANTM!$I$2:$I$66</c:f>
              <c:numCache/>
            </c:numRef>
          </c:val>
          <c:smooth val="0"/>
        </c:ser>
        <c:ser>
          <c:idx val="1"/>
          <c:order val="1"/>
          <c:tx>
            <c:v>Log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ANTM!$A$2:$A$66</c:f>
            </c:strRef>
          </c:cat>
          <c:val>
            <c:numRef>
              <c:f>ANTM!$J$2:$J$66</c:f>
              <c:numCache/>
            </c:numRef>
          </c:val>
          <c:smooth val="0"/>
        </c:ser>
        <c:axId val="806472222"/>
        <c:axId val="245075692"/>
      </c:lineChart>
      <c:catAx>
        <c:axId val="8064722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5075692"/>
      </c:catAx>
      <c:valAx>
        <c:axId val="2450756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647222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UNTR!$A$2:$A$66</c:f>
            </c:strRef>
          </c:cat>
          <c:val>
            <c:numRef>
              <c:f>UNTR!$B$2:$B$66</c:f>
              <c:numCache/>
            </c:numRef>
          </c:val>
          <c:smooth val="0"/>
        </c:ser>
        <c:axId val="618910725"/>
        <c:axId val="326676750"/>
      </c:lineChart>
      <c:catAx>
        <c:axId val="618910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6676750"/>
      </c:catAx>
      <c:valAx>
        <c:axId val="326676750"/>
        <c:scaling>
          <c:orientation val="minMax"/>
          <c:min val="2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18910725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Linear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UNTR!$A$2:$A$66</c:f>
            </c:strRef>
          </c:cat>
          <c:val>
            <c:numRef>
              <c:f>UNTR!$I$2:$I$66</c:f>
              <c:numCache/>
            </c:numRef>
          </c:val>
          <c:smooth val="0"/>
        </c:ser>
        <c:ser>
          <c:idx val="1"/>
          <c:order val="1"/>
          <c:tx>
            <c:v>Log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UNTR!$A$2:$A$66</c:f>
            </c:strRef>
          </c:cat>
          <c:val>
            <c:numRef>
              <c:f>UNTR!$J$2:$J$66</c:f>
              <c:numCache/>
            </c:numRef>
          </c:val>
          <c:smooth val="0"/>
        </c:ser>
        <c:axId val="953924443"/>
        <c:axId val="366847458"/>
      </c:lineChart>
      <c:catAx>
        <c:axId val="9539244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6847458"/>
      </c:catAx>
      <c:valAx>
        <c:axId val="366847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392444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MDKA!$A$2:$A$66</c:f>
            </c:strRef>
          </c:cat>
          <c:val>
            <c:numRef>
              <c:f>MDKA!$B$2:$B$66</c:f>
              <c:numCache/>
            </c:numRef>
          </c:val>
          <c:smooth val="0"/>
        </c:ser>
        <c:axId val="58434526"/>
        <c:axId val="30106540"/>
      </c:lineChart>
      <c:catAx>
        <c:axId val="58434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106540"/>
      </c:catAx>
      <c:valAx>
        <c:axId val="30106540"/>
        <c:scaling>
          <c:orientation val="minMax"/>
          <c:min val="2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434526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Linear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MDKA!$A$2:$A$66</c:f>
            </c:strRef>
          </c:cat>
          <c:val>
            <c:numRef>
              <c:f>MDKA!$I$2:$I$66</c:f>
              <c:numCache/>
            </c:numRef>
          </c:val>
          <c:smooth val="0"/>
        </c:ser>
        <c:ser>
          <c:idx val="1"/>
          <c:order val="1"/>
          <c:tx>
            <c:v>Log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MDKA!$A$2:$A$66</c:f>
            </c:strRef>
          </c:cat>
          <c:val>
            <c:numRef>
              <c:f>MDKA!$J$2:$J$66</c:f>
              <c:numCache/>
            </c:numRef>
          </c:val>
          <c:smooth val="0"/>
        </c:ser>
        <c:axId val="513198317"/>
        <c:axId val="931719095"/>
      </c:lineChart>
      <c:catAx>
        <c:axId val="5131983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31719095"/>
      </c:catAx>
      <c:valAx>
        <c:axId val="9317190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1319831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MEDC!$A$2:$A$66</c:f>
            </c:strRef>
          </c:cat>
          <c:val>
            <c:numRef>
              <c:f>MEDC!$B$2:$B$66</c:f>
              <c:numCache/>
            </c:numRef>
          </c:val>
          <c:smooth val="0"/>
        </c:ser>
        <c:axId val="838060164"/>
        <c:axId val="2146223689"/>
      </c:lineChart>
      <c:catAx>
        <c:axId val="838060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46223689"/>
      </c:catAx>
      <c:valAx>
        <c:axId val="2146223689"/>
        <c:scaling>
          <c:orientation val="minMax"/>
          <c:min val="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8060164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Linear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MEDC!$A$2:$A$67</c:f>
            </c:strRef>
          </c:cat>
          <c:val>
            <c:numRef>
              <c:f>MEDC!$I$2:$I$67</c:f>
              <c:numCache/>
            </c:numRef>
          </c:val>
          <c:smooth val="0"/>
        </c:ser>
        <c:ser>
          <c:idx val="1"/>
          <c:order val="1"/>
          <c:tx>
            <c:v>Log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MEDC!$A$2:$A$67</c:f>
            </c:strRef>
          </c:cat>
          <c:val>
            <c:numRef>
              <c:f>MEDC!$J$2:$J$67</c:f>
              <c:numCache/>
            </c:numRef>
          </c:val>
          <c:smooth val="0"/>
        </c:ser>
        <c:axId val="655408633"/>
        <c:axId val="1699221686"/>
      </c:lineChart>
      <c:catAx>
        <c:axId val="6554086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99221686"/>
      </c:catAx>
      <c:valAx>
        <c:axId val="16992216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5540863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PSAB!$A$2:$A$66</c:f>
            </c:strRef>
          </c:cat>
          <c:val>
            <c:numRef>
              <c:f>PSAB!$B$2:$B$66</c:f>
              <c:numCache/>
            </c:numRef>
          </c:val>
          <c:smooth val="0"/>
        </c:ser>
        <c:axId val="621747975"/>
        <c:axId val="244019202"/>
      </c:lineChart>
      <c:catAx>
        <c:axId val="621747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4019202"/>
      </c:catAx>
      <c:valAx>
        <c:axId val="244019202"/>
        <c:scaling>
          <c:orientation val="minMax"/>
          <c:min val="3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21747975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Linear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PSAB!$A$2:$A$69</c:f>
            </c:strRef>
          </c:cat>
          <c:val>
            <c:numRef>
              <c:f>PSAB!$I$2:$I$69</c:f>
              <c:numCache/>
            </c:numRef>
          </c:val>
          <c:smooth val="0"/>
        </c:ser>
        <c:ser>
          <c:idx val="1"/>
          <c:order val="1"/>
          <c:tx>
            <c:v>Log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PSAB!$A$2:$A$69</c:f>
            </c:strRef>
          </c:cat>
          <c:val>
            <c:numRef>
              <c:f>PSAB!$J$2:$J$69</c:f>
              <c:numCache/>
            </c:numRef>
          </c:val>
          <c:smooth val="0"/>
        </c:ser>
        <c:axId val="646222939"/>
        <c:axId val="838785548"/>
      </c:lineChart>
      <c:catAx>
        <c:axId val="646222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8785548"/>
      </c:catAx>
      <c:valAx>
        <c:axId val="838785548"/>
        <c:scaling>
          <c:orientation val="minMax"/>
          <c:max val="0.2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4622293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GRAFIK RETURN 5 PERUSAHAAN EMAS</a:t>
            </a:r>
          </a:p>
        </c:rich>
      </c:tx>
      <c:overlay val="0"/>
    </c:title>
    <c:plotArea>
      <c:layout/>
      <c:lineChart>
        <c:ser>
          <c:idx val="0"/>
          <c:order val="0"/>
          <c:tx>
            <c:v>ANTM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GRAFIK!$A$2:$A$66</c:f>
            </c:strRef>
          </c:cat>
          <c:val>
            <c:numRef>
              <c:f>GRAFIK!$B$2:$B$66</c:f>
              <c:numCache/>
            </c:numRef>
          </c:val>
          <c:smooth val="0"/>
        </c:ser>
        <c:ser>
          <c:idx val="1"/>
          <c:order val="1"/>
          <c:tx>
            <c:v>UNTR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GRAFIK!$A$2:$A$66</c:f>
            </c:strRef>
          </c:cat>
          <c:val>
            <c:numRef>
              <c:f>GRAFIK!$C$2:$C$66</c:f>
              <c:numCache/>
            </c:numRef>
          </c:val>
          <c:smooth val="0"/>
        </c:ser>
        <c:ser>
          <c:idx val="2"/>
          <c:order val="2"/>
          <c:tx>
            <c:v>MDKA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GRAFIK!$A$2:$A$66</c:f>
            </c:strRef>
          </c:cat>
          <c:val>
            <c:numRef>
              <c:f>GRAFIK!$D$2:$D$66</c:f>
              <c:numCache/>
            </c:numRef>
          </c:val>
          <c:smooth val="0"/>
        </c:ser>
        <c:ser>
          <c:idx val="3"/>
          <c:order val="3"/>
          <c:tx>
            <c:v>MEDC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GRAFIK!$A$2:$A$66</c:f>
            </c:strRef>
          </c:cat>
          <c:val>
            <c:numRef>
              <c:f>GRAFIK!$E$2:$E$66</c:f>
              <c:numCache/>
            </c:numRef>
          </c:val>
          <c:smooth val="0"/>
        </c:ser>
        <c:ser>
          <c:idx val="4"/>
          <c:order val="4"/>
          <c:tx>
            <c:v>PSAB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GRAFIK!$A$2:$A$66</c:f>
            </c:strRef>
          </c:cat>
          <c:val>
            <c:numRef>
              <c:f>GRAFIK!$F$2:$F$66</c:f>
              <c:numCache/>
            </c:numRef>
          </c:val>
          <c:smooth val="0"/>
        </c:ser>
        <c:axId val="1905289523"/>
        <c:axId val="812002085"/>
      </c:lineChart>
      <c:catAx>
        <c:axId val="1905289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2002085"/>
      </c:catAx>
      <c:valAx>
        <c:axId val="812002085"/>
        <c:scaling>
          <c:orientation val="minMax"/>
          <c:min val="-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528952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781050</xdr:colOff>
      <xdr:row>2</xdr:row>
      <xdr:rowOff>0</xdr:rowOff>
    </xdr:from>
    <xdr:ext cx="7715250" cy="27622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781050</xdr:colOff>
      <xdr:row>23</xdr:row>
      <xdr:rowOff>0</xdr:rowOff>
    </xdr:from>
    <xdr:ext cx="7715250" cy="29146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762000</xdr:colOff>
      <xdr:row>1</xdr:row>
      <xdr:rowOff>142875</xdr:rowOff>
    </xdr:from>
    <xdr:ext cx="8496300" cy="24574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19</xdr:row>
      <xdr:rowOff>171450</xdr:rowOff>
    </xdr:from>
    <xdr:ext cx="8486775" cy="30670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</xdr:row>
      <xdr:rowOff>171450</xdr:rowOff>
    </xdr:from>
    <xdr:ext cx="8486775" cy="25812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771525</xdr:colOff>
      <xdr:row>21</xdr:row>
      <xdr:rowOff>0</xdr:rowOff>
    </xdr:from>
    <xdr:ext cx="8496300" cy="340995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771525</xdr:colOff>
      <xdr:row>2</xdr:row>
      <xdr:rowOff>0</xdr:rowOff>
    </xdr:from>
    <xdr:ext cx="8486775" cy="24479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20</xdr:row>
      <xdr:rowOff>171450</xdr:rowOff>
    </xdr:from>
    <xdr:ext cx="8496300" cy="357187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781050</xdr:colOff>
      <xdr:row>2</xdr:row>
      <xdr:rowOff>0</xdr:rowOff>
    </xdr:from>
    <xdr:ext cx="8239125" cy="276225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21</xdr:row>
      <xdr:rowOff>38100</xdr:rowOff>
    </xdr:from>
    <xdr:ext cx="8267700" cy="3943350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504825</xdr:colOff>
      <xdr:row>0</xdr:row>
      <xdr:rowOff>57150</xdr:rowOff>
    </xdr:from>
    <xdr:ext cx="9953625" cy="4667250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3.29"/>
    <col customWidth="1" min="8" max="8" width="11.57"/>
    <col customWidth="1" min="9" max="10" width="16.14"/>
    <col customWidth="1" min="11" max="11" width="11.57"/>
    <col customWidth="1" min="12" max="12" width="26.57"/>
    <col customWidth="1" min="13" max="26" width="11.57"/>
  </cols>
  <sheetData>
    <row r="1" ht="12.75" customHeight="1">
      <c r="A1" s="2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/>
      <c r="I1" s="5" t="s">
        <v>7</v>
      </c>
      <c r="J1" s="5" t="s">
        <v>8</v>
      </c>
      <c r="K1" s="6"/>
      <c r="L1" s="9" t="s">
        <v>9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75" customHeight="1">
      <c r="A2" s="10">
        <v>45846.0</v>
      </c>
      <c r="B2" s="11">
        <v>2930.0</v>
      </c>
      <c r="C2" s="8">
        <v>2950.0</v>
      </c>
      <c r="D2" s="8">
        <v>2990.0</v>
      </c>
      <c r="E2" s="8">
        <v>2900.0</v>
      </c>
      <c r="F2" s="11" t="s">
        <v>13</v>
      </c>
      <c r="G2" s="8" t="s">
        <v>16</v>
      </c>
      <c r="H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10">
        <v>45847.0</v>
      </c>
      <c r="B3" s="11">
        <v>2920.0</v>
      </c>
      <c r="C3" s="8">
        <v>2940.0</v>
      </c>
      <c r="D3" s="8">
        <v>2960.0</v>
      </c>
      <c r="E3" s="8">
        <v>2880.0</v>
      </c>
      <c r="F3" s="11" t="s">
        <v>21</v>
      </c>
      <c r="G3" s="8" t="s">
        <v>23</v>
      </c>
      <c r="H3" s="8"/>
      <c r="I3" s="12">
        <f t="shared" ref="I3:I66" si="1">IFERROR((B3/B2)-1,"")</f>
        <v>-0.003412969283</v>
      </c>
      <c r="J3" s="12">
        <f t="shared" ref="J3:J66" si="2">IFERROR(LOG(B3)-LOG(B2),"")</f>
        <v>-0.001484768906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10">
        <v>45848.0</v>
      </c>
      <c r="B4" s="11">
        <v>2990.0</v>
      </c>
      <c r="C4" s="8">
        <v>2960.0</v>
      </c>
      <c r="D4" s="8">
        <v>3070.0</v>
      </c>
      <c r="E4" s="8">
        <v>2940.0</v>
      </c>
      <c r="F4" s="11" t="s">
        <v>26</v>
      </c>
      <c r="G4" s="8" t="s">
        <v>27</v>
      </c>
      <c r="H4" s="8"/>
      <c r="I4" s="12">
        <f t="shared" si="1"/>
        <v>0.02397260274</v>
      </c>
      <c r="J4" s="12">
        <f t="shared" si="2"/>
        <v>0.01028833688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10">
        <v>45849.0</v>
      </c>
      <c r="B5" s="11">
        <v>2990.0</v>
      </c>
      <c r="C5" s="8">
        <v>3000.0</v>
      </c>
      <c r="D5" s="8">
        <v>3020.0</v>
      </c>
      <c r="E5" s="8">
        <v>2960.0</v>
      </c>
      <c r="F5" s="11" t="s">
        <v>34</v>
      </c>
      <c r="G5" s="8" t="s">
        <v>31</v>
      </c>
      <c r="H5" s="8"/>
      <c r="I5" s="12">
        <f t="shared" si="1"/>
        <v>0</v>
      </c>
      <c r="J5" s="12">
        <f t="shared" si="2"/>
        <v>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10">
        <v>45852.0</v>
      </c>
      <c r="B6" s="11">
        <v>3030.0</v>
      </c>
      <c r="C6" s="8">
        <v>3030.0</v>
      </c>
      <c r="D6" s="8">
        <v>3060.0</v>
      </c>
      <c r="E6" s="8">
        <v>2960.0</v>
      </c>
      <c r="F6" s="11" t="s">
        <v>44</v>
      </c>
      <c r="G6" s="8" t="s">
        <v>46</v>
      </c>
      <c r="H6" s="8"/>
      <c r="I6" s="12">
        <f t="shared" si="1"/>
        <v>0.01337792642</v>
      </c>
      <c r="J6" s="12">
        <f t="shared" si="2"/>
        <v>0.005771440178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10">
        <v>45853.0</v>
      </c>
      <c r="B7" s="11">
        <v>3000.0</v>
      </c>
      <c r="C7" s="8">
        <v>3030.0</v>
      </c>
      <c r="D7" s="8">
        <v>3030.0</v>
      </c>
      <c r="E7" s="8">
        <v>2960.0</v>
      </c>
      <c r="F7" s="11" t="s">
        <v>50</v>
      </c>
      <c r="G7" s="8" t="s">
        <v>51</v>
      </c>
      <c r="H7" s="8"/>
      <c r="I7" s="12">
        <f t="shared" si="1"/>
        <v>-0.009900990099</v>
      </c>
      <c r="J7" s="12">
        <f t="shared" si="2"/>
        <v>-0.004321373783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10">
        <v>45854.0</v>
      </c>
      <c r="B8" s="11">
        <v>2990.0</v>
      </c>
      <c r="C8" s="8">
        <v>2990.0</v>
      </c>
      <c r="D8" s="8">
        <v>3010.0</v>
      </c>
      <c r="E8" s="8">
        <v>2940.0</v>
      </c>
      <c r="F8" s="11" t="s">
        <v>53</v>
      </c>
      <c r="G8" s="8" t="s">
        <v>54</v>
      </c>
      <c r="H8" s="8"/>
      <c r="I8" s="12">
        <f t="shared" si="1"/>
        <v>-0.003333333333</v>
      </c>
      <c r="J8" s="12">
        <f t="shared" si="2"/>
        <v>-0.001450066395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10">
        <v>45855.0</v>
      </c>
      <c r="B9" s="11">
        <v>3010.0</v>
      </c>
      <c r="C9" s="8">
        <v>3010.0</v>
      </c>
      <c r="D9" s="8">
        <v>3070.0</v>
      </c>
      <c r="E9" s="8">
        <v>2990.0</v>
      </c>
      <c r="F9" s="11" t="s">
        <v>59</v>
      </c>
      <c r="G9" s="8" t="s">
        <v>60</v>
      </c>
      <c r="H9" s="8"/>
      <c r="I9" s="12">
        <f t="shared" si="1"/>
        <v>0.006688963211</v>
      </c>
      <c r="J9" s="12">
        <f t="shared" si="2"/>
        <v>0.002895307269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10">
        <v>45856.0</v>
      </c>
      <c r="B10" s="11">
        <v>2970.0</v>
      </c>
      <c r="C10" s="8">
        <v>3020.0</v>
      </c>
      <c r="D10" s="8">
        <v>3030.0</v>
      </c>
      <c r="E10" s="8">
        <v>2940.0</v>
      </c>
      <c r="F10" s="11" t="s">
        <v>64</v>
      </c>
      <c r="G10" s="8" t="s">
        <v>65</v>
      </c>
      <c r="H10" s="8"/>
      <c r="I10" s="12">
        <f t="shared" si="1"/>
        <v>-0.01328903654</v>
      </c>
      <c r="J10" s="12">
        <f t="shared" si="2"/>
        <v>-0.005810046277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10">
        <v>45859.0</v>
      </c>
      <c r="B11" s="11">
        <v>3190.0</v>
      </c>
      <c r="C11" s="8">
        <v>2990.0</v>
      </c>
      <c r="D11" s="8">
        <v>3210.0</v>
      </c>
      <c r="E11" s="8">
        <v>2950.0</v>
      </c>
      <c r="F11" s="11" t="s">
        <v>71</v>
      </c>
      <c r="G11" s="8" t="s">
        <v>72</v>
      </c>
      <c r="H11" s="8"/>
      <c r="I11" s="12">
        <f t="shared" si="1"/>
        <v>0.07407407407</v>
      </c>
      <c r="J11" s="12">
        <f t="shared" si="2"/>
        <v>0.03103423374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10">
        <v>45860.0</v>
      </c>
      <c r="B12" s="11">
        <v>2960.0</v>
      </c>
      <c r="C12" s="8">
        <v>3250.0</v>
      </c>
      <c r="D12" s="8">
        <v>3270.0</v>
      </c>
      <c r="E12" s="8">
        <v>2950.0</v>
      </c>
      <c r="F12" s="11" t="s">
        <v>76</v>
      </c>
      <c r="G12" s="8" t="s">
        <v>78</v>
      </c>
      <c r="H12" s="8"/>
      <c r="I12" s="12">
        <f t="shared" si="1"/>
        <v>-0.07210031348</v>
      </c>
      <c r="J12" s="12">
        <f t="shared" si="2"/>
        <v>-0.032498972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10">
        <v>45861.0</v>
      </c>
      <c r="B13" s="11">
        <v>3040.0</v>
      </c>
      <c r="C13" s="8">
        <v>3010.0</v>
      </c>
      <c r="D13" s="8">
        <v>3040.0</v>
      </c>
      <c r="E13" s="8">
        <v>2870.0</v>
      </c>
      <c r="F13" s="11" t="s">
        <v>81</v>
      </c>
      <c r="G13" s="8" t="s">
        <v>82</v>
      </c>
      <c r="H13" s="8"/>
      <c r="I13" s="12">
        <f t="shared" si="1"/>
        <v>0.02702702703</v>
      </c>
      <c r="J13" s="12">
        <f t="shared" si="2"/>
        <v>0.01158187255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10">
        <v>45862.0</v>
      </c>
      <c r="B14" s="11">
        <v>3030.0</v>
      </c>
      <c r="C14" s="8">
        <v>3020.0</v>
      </c>
      <c r="D14" s="8">
        <v>3070.0</v>
      </c>
      <c r="E14" s="8">
        <v>2980.0</v>
      </c>
      <c r="F14" s="11" t="s">
        <v>88</v>
      </c>
      <c r="G14" s="8" t="s">
        <v>54</v>
      </c>
      <c r="H14" s="8"/>
      <c r="I14" s="12">
        <f t="shared" si="1"/>
        <v>-0.003289473684</v>
      </c>
      <c r="J14" s="12">
        <f t="shared" si="2"/>
        <v>-0.001430955106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10">
        <v>45863.0</v>
      </c>
      <c r="B15" s="11">
        <v>2970.0</v>
      </c>
      <c r="C15" s="8">
        <v>3040.0</v>
      </c>
      <c r="D15" s="8">
        <v>3040.0</v>
      </c>
      <c r="E15" s="8">
        <v>2950.0</v>
      </c>
      <c r="F15" s="11" t="s">
        <v>94</v>
      </c>
      <c r="G15" s="8" t="s">
        <v>95</v>
      </c>
      <c r="H15" s="8"/>
      <c r="I15" s="12">
        <f t="shared" si="1"/>
        <v>-0.0198019802</v>
      </c>
      <c r="J15" s="12">
        <f t="shared" si="2"/>
        <v>-0.008686179185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10">
        <v>45866.0</v>
      </c>
      <c r="B16" s="11">
        <v>2970.0</v>
      </c>
      <c r="C16" s="8">
        <v>2970.0</v>
      </c>
      <c r="D16" s="8">
        <v>3030.0</v>
      </c>
      <c r="E16" s="8">
        <v>2950.0</v>
      </c>
      <c r="F16" s="11" t="s">
        <v>102</v>
      </c>
      <c r="G16" s="8" t="s">
        <v>31</v>
      </c>
      <c r="H16" s="8"/>
      <c r="I16" s="12">
        <f t="shared" si="1"/>
        <v>0</v>
      </c>
      <c r="J16" s="12">
        <f t="shared" si="2"/>
        <v>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10">
        <v>45867.0</v>
      </c>
      <c r="B17" s="11">
        <v>3000.0</v>
      </c>
      <c r="C17" s="8">
        <v>2970.0</v>
      </c>
      <c r="D17" s="8">
        <v>3020.0</v>
      </c>
      <c r="E17" s="8">
        <v>2970.0</v>
      </c>
      <c r="F17" s="11" t="s">
        <v>103</v>
      </c>
      <c r="G17" s="8" t="s">
        <v>104</v>
      </c>
      <c r="H17" s="8"/>
      <c r="I17" s="12">
        <f t="shared" si="1"/>
        <v>0.0101010101</v>
      </c>
      <c r="J17" s="12">
        <f t="shared" si="2"/>
        <v>0.004364805402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10">
        <v>45868.0</v>
      </c>
      <c r="B18" s="11">
        <v>2990.0</v>
      </c>
      <c r="C18" s="8">
        <v>3010.0</v>
      </c>
      <c r="D18" s="8">
        <v>3050.0</v>
      </c>
      <c r="E18" s="8">
        <v>2970.0</v>
      </c>
      <c r="F18" s="11" t="s">
        <v>111</v>
      </c>
      <c r="G18" s="8" t="s">
        <v>54</v>
      </c>
      <c r="H18" s="8"/>
      <c r="I18" s="12">
        <f t="shared" si="1"/>
        <v>-0.003333333333</v>
      </c>
      <c r="J18" s="12">
        <f t="shared" si="2"/>
        <v>-0.001450066395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10">
        <v>45869.0</v>
      </c>
      <c r="B19" s="11">
        <v>2850.0</v>
      </c>
      <c r="C19" s="8">
        <v>2950.0</v>
      </c>
      <c r="D19" s="8">
        <v>2970.0</v>
      </c>
      <c r="E19" s="8">
        <v>2770.0</v>
      </c>
      <c r="F19" s="11" t="s">
        <v>116</v>
      </c>
      <c r="G19" s="8" t="s">
        <v>117</v>
      </c>
      <c r="H19" s="8"/>
      <c r="I19" s="12">
        <f t="shared" si="1"/>
        <v>-0.04682274247</v>
      </c>
      <c r="J19" s="12">
        <f t="shared" si="2"/>
        <v>-0.02082632832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10">
        <v>45870.0</v>
      </c>
      <c r="B20" s="11">
        <v>2880.0</v>
      </c>
      <c r="C20" s="8">
        <v>2860.0</v>
      </c>
      <c r="D20" s="8">
        <v>2920.0</v>
      </c>
      <c r="E20" s="8">
        <v>2830.0</v>
      </c>
      <c r="F20" s="11" t="s">
        <v>120</v>
      </c>
      <c r="G20" s="8" t="s">
        <v>122</v>
      </c>
      <c r="H20" s="8"/>
      <c r="I20" s="12">
        <f t="shared" si="1"/>
        <v>0.01052631579</v>
      </c>
      <c r="J20" s="12">
        <f t="shared" si="2"/>
        <v>0.004547627751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10">
        <v>45873.0</v>
      </c>
      <c r="B21" s="11">
        <v>2910.0</v>
      </c>
      <c r="C21" s="8">
        <v>2920.0</v>
      </c>
      <c r="D21" s="8">
        <v>2970.0</v>
      </c>
      <c r="E21" s="8">
        <v>2890.0</v>
      </c>
      <c r="F21" s="11" t="s">
        <v>128</v>
      </c>
      <c r="G21" s="8" t="s">
        <v>129</v>
      </c>
      <c r="H21" s="8"/>
      <c r="I21" s="12">
        <f t="shared" si="1"/>
        <v>0.01041666667</v>
      </c>
      <c r="J21" s="12">
        <f t="shared" si="2"/>
        <v>0.004500501227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10">
        <v>45874.0</v>
      </c>
      <c r="B22" s="11">
        <v>2940.0</v>
      </c>
      <c r="C22" s="8">
        <v>2930.0</v>
      </c>
      <c r="D22" s="8">
        <v>3050.0</v>
      </c>
      <c r="E22" s="8">
        <v>2910.0</v>
      </c>
      <c r="F22" s="11" t="s">
        <v>136</v>
      </c>
      <c r="G22" s="8" t="s">
        <v>137</v>
      </c>
      <c r="H22" s="8"/>
      <c r="I22" s="12">
        <f t="shared" si="1"/>
        <v>0.01030927835</v>
      </c>
      <c r="J22" s="12">
        <f t="shared" si="2"/>
        <v>0.004454341426</v>
      </c>
      <c r="K22" s="8"/>
      <c r="L22" s="9" t="s">
        <v>138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10">
        <v>45875.0</v>
      </c>
      <c r="B23" s="11">
        <v>3080.0</v>
      </c>
      <c r="C23" s="8">
        <v>2970.0</v>
      </c>
      <c r="D23" s="8">
        <v>3100.0</v>
      </c>
      <c r="E23" s="8">
        <v>2970.0</v>
      </c>
      <c r="F23" s="11" t="s">
        <v>142</v>
      </c>
      <c r="G23" s="8" t="s">
        <v>144</v>
      </c>
      <c r="H23" s="8"/>
      <c r="I23" s="12">
        <f t="shared" si="1"/>
        <v>0.04761904762</v>
      </c>
      <c r="J23" s="12">
        <f t="shared" si="2"/>
        <v>0.02020338609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10">
        <v>45876.0</v>
      </c>
      <c r="B24" s="11">
        <v>3150.0</v>
      </c>
      <c r="C24" s="8">
        <v>3100.0</v>
      </c>
      <c r="D24" s="8">
        <v>3250.0</v>
      </c>
      <c r="E24" s="8">
        <v>3070.0</v>
      </c>
      <c r="F24" s="11" t="s">
        <v>146</v>
      </c>
      <c r="G24" s="8" t="s">
        <v>147</v>
      </c>
      <c r="H24" s="8"/>
      <c r="I24" s="12">
        <f t="shared" si="1"/>
        <v>0.02272727273</v>
      </c>
      <c r="J24" s="12">
        <f t="shared" si="2"/>
        <v>0.009759837289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10">
        <v>45877.0</v>
      </c>
      <c r="B25" s="11">
        <v>3090.0</v>
      </c>
      <c r="C25" s="8">
        <v>3160.0</v>
      </c>
      <c r="D25" s="8">
        <v>3170.0</v>
      </c>
      <c r="E25" s="8">
        <v>3020.0</v>
      </c>
      <c r="F25" s="11" t="s">
        <v>154</v>
      </c>
      <c r="G25" s="8" t="s">
        <v>155</v>
      </c>
      <c r="H25" s="8"/>
      <c r="I25" s="12">
        <f t="shared" si="1"/>
        <v>-0.01904761905</v>
      </c>
      <c r="J25" s="12">
        <f t="shared" si="2"/>
        <v>-0.008352074365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10">
        <v>45880.0</v>
      </c>
      <c r="B26" s="11">
        <v>2940.0</v>
      </c>
      <c r="C26" s="8">
        <v>3060.0</v>
      </c>
      <c r="D26" s="8">
        <v>3070.0</v>
      </c>
      <c r="E26" s="8">
        <v>2930.0</v>
      </c>
      <c r="F26" s="11" t="s">
        <v>161</v>
      </c>
      <c r="G26" s="8" t="s">
        <v>163</v>
      </c>
      <c r="H26" s="8"/>
      <c r="I26" s="12">
        <f t="shared" si="1"/>
        <v>-0.04854368932</v>
      </c>
      <c r="J26" s="12">
        <f t="shared" si="2"/>
        <v>-0.02161114901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10">
        <v>45881.0</v>
      </c>
      <c r="B27" s="11">
        <v>2900.0</v>
      </c>
      <c r="C27" s="8">
        <v>2940.0</v>
      </c>
      <c r="D27" s="8">
        <v>2950.0</v>
      </c>
      <c r="E27" s="8">
        <v>2870.0</v>
      </c>
      <c r="F27" s="11" t="s">
        <v>166</v>
      </c>
      <c r="G27" s="8" t="s">
        <v>167</v>
      </c>
      <c r="H27" s="8"/>
      <c r="I27" s="12">
        <f t="shared" si="1"/>
        <v>-0.01360544218</v>
      </c>
      <c r="J27" s="12">
        <f t="shared" si="2"/>
        <v>-0.005949332513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10">
        <v>45882.0</v>
      </c>
      <c r="B28" s="11">
        <v>2910.0</v>
      </c>
      <c r="C28" s="8">
        <v>2930.0</v>
      </c>
      <c r="D28" s="8">
        <v>2960.0</v>
      </c>
      <c r="E28" s="8">
        <v>2880.0</v>
      </c>
      <c r="F28" s="11" t="s">
        <v>172</v>
      </c>
      <c r="G28" s="8" t="s">
        <v>174</v>
      </c>
      <c r="H28" s="8"/>
      <c r="I28" s="12">
        <f t="shared" si="1"/>
        <v>0.003448275862</v>
      </c>
      <c r="J28" s="12">
        <f t="shared" si="2"/>
        <v>0.001494991087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10">
        <v>45883.0</v>
      </c>
      <c r="B29" s="11">
        <v>2890.0</v>
      </c>
      <c r="C29" s="8">
        <v>2920.0</v>
      </c>
      <c r="D29" s="8">
        <v>2940.0</v>
      </c>
      <c r="E29" s="8">
        <v>2890.0</v>
      </c>
      <c r="F29" s="11" t="s">
        <v>180</v>
      </c>
      <c r="G29" s="8" t="s">
        <v>181</v>
      </c>
      <c r="H29" s="8"/>
      <c r="I29" s="12">
        <f t="shared" si="1"/>
        <v>-0.006872852234</v>
      </c>
      <c r="J29" s="12">
        <f t="shared" si="2"/>
        <v>-0.002995146229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10">
        <v>45884.0</v>
      </c>
      <c r="B30" s="11">
        <v>2900.0</v>
      </c>
      <c r="C30" s="8">
        <v>2900.0</v>
      </c>
      <c r="D30" s="8">
        <v>2920.0</v>
      </c>
      <c r="E30" s="8">
        <v>2860.0</v>
      </c>
      <c r="F30" s="11" t="s">
        <v>184</v>
      </c>
      <c r="G30" s="8" t="s">
        <v>185</v>
      </c>
      <c r="H30" s="8"/>
      <c r="I30" s="12">
        <f t="shared" si="1"/>
        <v>0.003460207612</v>
      </c>
      <c r="J30" s="12">
        <f t="shared" si="2"/>
        <v>0.001500155142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10">
        <v>45888.0</v>
      </c>
      <c r="B31" s="11">
        <v>2810.0</v>
      </c>
      <c r="C31" s="8">
        <v>2900.0</v>
      </c>
      <c r="D31" s="8">
        <v>2910.0</v>
      </c>
      <c r="E31" s="8">
        <v>2810.0</v>
      </c>
      <c r="F31" s="11" t="s">
        <v>190</v>
      </c>
      <c r="G31" s="8" t="s">
        <v>191</v>
      </c>
      <c r="H31" s="8"/>
      <c r="I31" s="12">
        <f t="shared" si="1"/>
        <v>-0.03103448276</v>
      </c>
      <c r="J31" s="12">
        <f t="shared" si="2"/>
        <v>-0.01369167799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10">
        <v>45889.0</v>
      </c>
      <c r="B32" s="11">
        <v>2840.0</v>
      </c>
      <c r="C32" s="8">
        <v>2810.0</v>
      </c>
      <c r="D32" s="8">
        <v>2840.0</v>
      </c>
      <c r="E32" s="8">
        <v>2790.0</v>
      </c>
      <c r="F32" s="11" t="s">
        <v>196</v>
      </c>
      <c r="G32" s="8" t="s">
        <v>197</v>
      </c>
      <c r="H32" s="8"/>
      <c r="I32" s="12">
        <f t="shared" si="1"/>
        <v>0.01067615658</v>
      </c>
      <c r="J32" s="12">
        <f t="shared" si="2"/>
        <v>0.004612020142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10">
        <v>45890.0</v>
      </c>
      <c r="B33" s="11">
        <v>2830.0</v>
      </c>
      <c r="C33" s="8">
        <v>2860.0</v>
      </c>
      <c r="D33" s="8">
        <v>2880.0</v>
      </c>
      <c r="E33" s="8">
        <v>2810.0</v>
      </c>
      <c r="F33" s="11" t="s">
        <v>200</v>
      </c>
      <c r="G33" s="8" t="s">
        <v>201</v>
      </c>
      <c r="H33" s="8"/>
      <c r="I33" s="12">
        <f t="shared" si="1"/>
        <v>-0.003521126761</v>
      </c>
      <c r="J33" s="12">
        <f t="shared" si="2"/>
        <v>-0.001531904523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10">
        <v>45891.0</v>
      </c>
      <c r="B34" s="11">
        <v>2820.0</v>
      </c>
      <c r="C34" s="8">
        <v>2840.0</v>
      </c>
      <c r="D34" s="8">
        <v>2870.0</v>
      </c>
      <c r="E34" s="8">
        <v>2820.0</v>
      </c>
      <c r="F34" s="11" t="s">
        <v>206</v>
      </c>
      <c r="G34" s="8" t="s">
        <v>201</v>
      </c>
      <c r="H34" s="8"/>
      <c r="I34" s="12">
        <f t="shared" si="1"/>
        <v>-0.003533568905</v>
      </c>
      <c r="J34" s="12">
        <f t="shared" si="2"/>
        <v>-0.001537327205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0">
        <v>45894.0</v>
      </c>
      <c r="B35" s="11">
        <v>2870.0</v>
      </c>
      <c r="C35" s="8">
        <v>2850.0</v>
      </c>
      <c r="D35" s="8">
        <v>2900.0</v>
      </c>
      <c r="E35" s="8">
        <v>2840.0</v>
      </c>
      <c r="F35" s="11" t="s">
        <v>213</v>
      </c>
      <c r="G35" s="8" t="s">
        <v>214</v>
      </c>
      <c r="H35" s="8"/>
      <c r="I35" s="12">
        <f t="shared" si="1"/>
        <v>0.01773049645</v>
      </c>
      <c r="J35" s="12">
        <f t="shared" si="2"/>
        <v>0.007632788415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0">
        <v>45895.0</v>
      </c>
      <c r="B36" s="11">
        <v>2880.0</v>
      </c>
      <c r="C36" s="8">
        <v>2890.0</v>
      </c>
      <c r="D36" s="8">
        <v>2920.0</v>
      </c>
      <c r="E36" s="8">
        <v>2880.0</v>
      </c>
      <c r="F36" s="11" t="s">
        <v>217</v>
      </c>
      <c r="G36" s="8" t="s">
        <v>185</v>
      </c>
      <c r="H36" s="8"/>
      <c r="I36" s="12">
        <f t="shared" si="1"/>
        <v>0.003484320557</v>
      </c>
      <c r="J36" s="12">
        <f t="shared" si="2"/>
        <v>0.001510591025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0">
        <v>45896.0</v>
      </c>
      <c r="B37" s="11">
        <v>2960.0</v>
      </c>
      <c r="C37" s="8">
        <v>2920.0</v>
      </c>
      <c r="D37" s="8">
        <v>2990.0</v>
      </c>
      <c r="E37" s="8">
        <v>2890.0</v>
      </c>
      <c r="F37" s="11" t="s">
        <v>224</v>
      </c>
      <c r="G37" s="8" t="s">
        <v>225</v>
      </c>
      <c r="H37" s="8"/>
      <c r="I37" s="12">
        <f t="shared" si="1"/>
        <v>0.02777777778</v>
      </c>
      <c r="J37" s="12">
        <f t="shared" si="2"/>
        <v>0.0118992233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0">
        <v>45897.0</v>
      </c>
      <c r="B38" s="11">
        <v>2980.0</v>
      </c>
      <c r="C38" s="8">
        <v>3000.0</v>
      </c>
      <c r="D38" s="8">
        <v>3020.0</v>
      </c>
      <c r="E38" s="8">
        <v>2920.0</v>
      </c>
      <c r="F38" s="11" t="s">
        <v>230</v>
      </c>
      <c r="G38" s="8" t="s">
        <v>231</v>
      </c>
      <c r="H38" s="8"/>
      <c r="I38" s="12">
        <f t="shared" si="1"/>
        <v>0.006756756757</v>
      </c>
      <c r="J38" s="12">
        <f t="shared" si="2"/>
        <v>0.002924553017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10">
        <v>45898.0</v>
      </c>
      <c r="B39" s="11">
        <v>3040.0</v>
      </c>
      <c r="C39" s="8">
        <v>2960.0</v>
      </c>
      <c r="D39" s="8">
        <v>3050.0</v>
      </c>
      <c r="E39" s="8">
        <v>2880.0</v>
      </c>
      <c r="F39" s="11" t="s">
        <v>234</v>
      </c>
      <c r="G39" s="8" t="s">
        <v>235</v>
      </c>
      <c r="H39" s="8"/>
      <c r="I39" s="12">
        <f t="shared" si="1"/>
        <v>0.02013422819</v>
      </c>
      <c r="J39" s="12">
        <f t="shared" si="2"/>
        <v>0.008657319532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10">
        <v>45901.0</v>
      </c>
      <c r="B40" s="11">
        <v>3200.0</v>
      </c>
      <c r="C40" s="8">
        <v>2950.0</v>
      </c>
      <c r="D40" s="8">
        <v>3280.0</v>
      </c>
      <c r="E40" s="8">
        <v>2950.0</v>
      </c>
      <c r="F40" s="11" t="s">
        <v>242</v>
      </c>
      <c r="G40" s="8" t="s">
        <v>243</v>
      </c>
      <c r="H40" s="8"/>
      <c r="I40" s="12">
        <f t="shared" si="1"/>
        <v>0.05263157895</v>
      </c>
      <c r="J40" s="12">
        <f t="shared" si="2"/>
        <v>0.02227639471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10">
        <v>45902.0</v>
      </c>
      <c r="B41" s="11">
        <v>3470.0</v>
      </c>
      <c r="C41" s="8">
        <v>3300.0</v>
      </c>
      <c r="D41" s="8">
        <v>3480.0</v>
      </c>
      <c r="E41" s="8">
        <v>3290.0</v>
      </c>
      <c r="F41" s="11" t="s">
        <v>249</v>
      </c>
      <c r="G41" s="8" t="s">
        <v>250</v>
      </c>
      <c r="H41" s="8"/>
      <c r="I41" s="12">
        <f t="shared" si="1"/>
        <v>0.084375</v>
      </c>
      <c r="J41" s="12">
        <f t="shared" si="2"/>
        <v>0.03517949647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10">
        <v>45903.0</v>
      </c>
      <c r="B42" s="11">
        <v>3480.0</v>
      </c>
      <c r="C42" s="8">
        <v>3520.0</v>
      </c>
      <c r="D42" s="8">
        <v>3580.0</v>
      </c>
      <c r="E42" s="8">
        <v>3360.0</v>
      </c>
      <c r="F42" s="11" t="s">
        <v>253</v>
      </c>
      <c r="G42" s="8" t="s">
        <v>254</v>
      </c>
      <c r="H42" s="8"/>
      <c r="I42" s="12">
        <f t="shared" si="1"/>
        <v>0.00288184438</v>
      </c>
      <c r="J42" s="12">
        <f t="shared" si="2"/>
        <v>0.001249769156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10">
        <v>45904.0</v>
      </c>
      <c r="B43" s="11">
        <v>3390.0</v>
      </c>
      <c r="C43" s="8">
        <v>3470.0</v>
      </c>
      <c r="D43" s="8">
        <v>3470.0</v>
      </c>
      <c r="E43" s="8">
        <v>3370.0</v>
      </c>
      <c r="F43" s="11" t="s">
        <v>260</v>
      </c>
      <c r="G43" s="8" t="s">
        <v>261</v>
      </c>
      <c r="H43" s="8"/>
      <c r="I43" s="12">
        <f t="shared" si="1"/>
        <v>-0.02586206897</v>
      </c>
      <c r="J43" s="12">
        <f t="shared" si="2"/>
        <v>-0.01137954574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10">
        <v>45908.0</v>
      </c>
      <c r="B44" s="11">
        <v>3610.0</v>
      </c>
      <c r="C44" s="8">
        <v>3470.0</v>
      </c>
      <c r="D44" s="8">
        <v>3710.0</v>
      </c>
      <c r="E44" s="8">
        <v>3450.0</v>
      </c>
      <c r="F44" s="11" t="s">
        <v>266</v>
      </c>
      <c r="G44" s="8" t="s">
        <v>267</v>
      </c>
      <c r="H44" s="8"/>
      <c r="I44" s="12">
        <f t="shared" si="1"/>
        <v>0.06489675516</v>
      </c>
      <c r="J44" s="12">
        <f t="shared" si="2"/>
        <v>0.0273075037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10">
        <v>45909.0</v>
      </c>
      <c r="B45" s="11">
        <v>3660.0</v>
      </c>
      <c r="C45" s="8">
        <v>3680.0</v>
      </c>
      <c r="D45" s="8">
        <v>3930.0</v>
      </c>
      <c r="E45" s="8">
        <v>3590.0</v>
      </c>
      <c r="F45" s="11" t="s">
        <v>274</v>
      </c>
      <c r="G45" s="8" t="s">
        <v>275</v>
      </c>
      <c r="H45" s="8"/>
      <c r="I45" s="12">
        <f t="shared" si="1"/>
        <v>0.01385041551</v>
      </c>
      <c r="J45" s="12">
        <f t="shared" si="2"/>
        <v>0.005973883489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10">
        <v>45910.0</v>
      </c>
      <c r="B46" s="11">
        <v>3510.0</v>
      </c>
      <c r="C46" s="8">
        <v>3580.0</v>
      </c>
      <c r="D46" s="8">
        <v>3600.0</v>
      </c>
      <c r="E46" s="8">
        <v>3470.0</v>
      </c>
      <c r="F46" s="11" t="s">
        <v>282</v>
      </c>
      <c r="G46" s="8" t="s">
        <v>283</v>
      </c>
      <c r="H46" s="8"/>
      <c r="I46" s="12">
        <f t="shared" si="1"/>
        <v>-0.04098360656</v>
      </c>
      <c r="J46" s="12">
        <f t="shared" si="2"/>
        <v>-0.01817396893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10">
        <v>45911.0</v>
      </c>
      <c r="B47" s="11">
        <v>3390.0</v>
      </c>
      <c r="C47" s="8">
        <v>3520.0</v>
      </c>
      <c r="D47" s="8">
        <v>3570.0</v>
      </c>
      <c r="E47" s="8">
        <v>3380.0</v>
      </c>
      <c r="F47" s="11" t="s">
        <v>286</v>
      </c>
      <c r="G47" s="8" t="s">
        <v>288</v>
      </c>
      <c r="H47" s="8"/>
      <c r="I47" s="12">
        <f t="shared" si="1"/>
        <v>-0.03418803419</v>
      </c>
      <c r="J47" s="12">
        <f t="shared" si="2"/>
        <v>-0.01510741826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10">
        <v>45912.0</v>
      </c>
      <c r="B48" s="11">
        <v>3490.0</v>
      </c>
      <c r="C48" s="8">
        <v>3430.0</v>
      </c>
      <c r="D48" s="8">
        <v>3520.0</v>
      </c>
      <c r="E48" s="8">
        <v>3420.0</v>
      </c>
      <c r="F48" s="11" t="s">
        <v>294</v>
      </c>
      <c r="G48" s="8" t="s">
        <v>295</v>
      </c>
      <c r="H48" s="8"/>
      <c r="I48" s="12">
        <f t="shared" si="1"/>
        <v>0.02949852507</v>
      </c>
      <c r="J48" s="12">
        <f t="shared" si="2"/>
        <v>0.01262572876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10">
        <v>45915.0</v>
      </c>
      <c r="B49" s="11">
        <v>3490.0</v>
      </c>
      <c r="C49" s="8">
        <v>3490.0</v>
      </c>
      <c r="D49" s="8">
        <v>3530.0</v>
      </c>
      <c r="E49" s="8">
        <v>3430.0</v>
      </c>
      <c r="F49" s="11" t="s">
        <v>300</v>
      </c>
      <c r="G49" s="8" t="s">
        <v>31</v>
      </c>
      <c r="H49" s="8"/>
      <c r="I49" s="12">
        <f t="shared" si="1"/>
        <v>0</v>
      </c>
      <c r="J49" s="12">
        <f t="shared" si="2"/>
        <v>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10">
        <v>45916.0</v>
      </c>
      <c r="B50" s="11">
        <v>3600.0</v>
      </c>
      <c r="C50" s="8">
        <v>3550.0</v>
      </c>
      <c r="D50" s="8">
        <v>3600.0</v>
      </c>
      <c r="E50" s="8">
        <v>3500.0</v>
      </c>
      <c r="F50" s="11" t="s">
        <v>303</v>
      </c>
      <c r="G50" s="8" t="s">
        <v>304</v>
      </c>
      <c r="H50" s="8"/>
      <c r="I50" s="12">
        <f t="shared" si="1"/>
        <v>0.03151862464</v>
      </c>
      <c r="J50" s="12">
        <f t="shared" si="2"/>
        <v>0.01347707381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10">
        <v>45917.0</v>
      </c>
      <c r="B51" s="11">
        <v>3460.0</v>
      </c>
      <c r="C51" s="8">
        <v>3570.0</v>
      </c>
      <c r="D51" s="8">
        <v>3580.0</v>
      </c>
      <c r="E51" s="8">
        <v>3450.0</v>
      </c>
      <c r="F51" s="11" t="s">
        <v>309</v>
      </c>
      <c r="G51" s="8" t="s">
        <v>310</v>
      </c>
      <c r="H51" s="8"/>
      <c r="I51" s="12">
        <f t="shared" si="1"/>
        <v>-0.03888888889</v>
      </c>
      <c r="J51" s="12">
        <f t="shared" si="2"/>
        <v>-0.01722640197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10">
        <v>45918.0</v>
      </c>
      <c r="B52" s="11">
        <v>3420.0</v>
      </c>
      <c r="C52" s="8">
        <v>3490.0</v>
      </c>
      <c r="D52" s="8">
        <v>3490.0</v>
      </c>
      <c r="E52" s="8">
        <v>3400.0</v>
      </c>
      <c r="F52" s="11" t="s">
        <v>312</v>
      </c>
      <c r="G52" s="8" t="s">
        <v>306</v>
      </c>
      <c r="H52" s="8"/>
      <c r="I52" s="12">
        <f t="shared" si="1"/>
        <v>-0.01156069364</v>
      </c>
      <c r="J52" s="12">
        <f t="shared" si="2"/>
        <v>-0.005049992737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10">
        <v>45919.0</v>
      </c>
      <c r="B53" s="11">
        <v>3450.0</v>
      </c>
      <c r="C53" s="8">
        <v>3420.0</v>
      </c>
      <c r="D53" s="8">
        <v>3580.0</v>
      </c>
      <c r="E53" s="8">
        <v>3420.0</v>
      </c>
      <c r="F53" s="11" t="s">
        <v>316</v>
      </c>
      <c r="G53" s="8" t="s">
        <v>317</v>
      </c>
      <c r="H53" s="8"/>
      <c r="I53" s="12">
        <f t="shared" si="1"/>
        <v>0.008771929825</v>
      </c>
      <c r="J53" s="12">
        <f t="shared" si="2"/>
        <v>0.003792989017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10">
        <v>45922.0</v>
      </c>
      <c r="B54" s="11">
        <v>3580.0</v>
      </c>
      <c r="C54" s="8">
        <v>3520.0</v>
      </c>
      <c r="D54" s="8">
        <v>3580.0</v>
      </c>
      <c r="E54" s="8">
        <v>3500.0</v>
      </c>
      <c r="F54" s="11" t="s">
        <v>321</v>
      </c>
      <c r="G54" s="8" t="s">
        <v>322</v>
      </c>
      <c r="H54" s="8"/>
      <c r="I54" s="12">
        <f t="shared" si="1"/>
        <v>0.03768115942</v>
      </c>
      <c r="J54" s="12">
        <f t="shared" si="2"/>
        <v>0.01606393157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10">
        <v>45923.0</v>
      </c>
      <c r="B55" s="11">
        <v>3670.0</v>
      </c>
      <c r="C55" s="8">
        <v>3650.0</v>
      </c>
      <c r="D55" s="8">
        <v>3730.0</v>
      </c>
      <c r="E55" s="8">
        <v>3600.0</v>
      </c>
      <c r="F55" s="11" t="s">
        <v>328</v>
      </c>
      <c r="G55" s="8" t="s">
        <v>330</v>
      </c>
      <c r="H55" s="8"/>
      <c r="I55" s="12">
        <f t="shared" si="1"/>
        <v>0.0251396648</v>
      </c>
      <c r="J55" s="12">
        <f t="shared" si="2"/>
        <v>0.01078303761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10">
        <v>45924.0</v>
      </c>
      <c r="B56" s="11">
        <v>3470.0</v>
      </c>
      <c r="C56" s="8">
        <v>3610.0</v>
      </c>
      <c r="D56" s="8">
        <v>3620.0</v>
      </c>
      <c r="E56" s="8">
        <v>3460.0</v>
      </c>
      <c r="F56" s="11" t="s">
        <v>335</v>
      </c>
      <c r="G56" s="8" t="s">
        <v>336</v>
      </c>
      <c r="H56" s="8"/>
      <c r="I56" s="12">
        <f t="shared" si="1"/>
        <v>-0.05449591281</v>
      </c>
      <c r="J56" s="12">
        <f t="shared" si="2"/>
        <v>-0.02433658946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10">
        <v>45925.0</v>
      </c>
      <c r="B57" s="11">
        <v>3170.0</v>
      </c>
      <c r="C57" s="8">
        <v>3350.0</v>
      </c>
      <c r="D57" s="8">
        <v>3400.0</v>
      </c>
      <c r="E57" s="8">
        <v>3150.0</v>
      </c>
      <c r="F57" s="11" t="s">
        <v>341</v>
      </c>
      <c r="G57" s="8" t="s">
        <v>342</v>
      </c>
      <c r="H57" s="8"/>
      <c r="I57" s="12">
        <f t="shared" si="1"/>
        <v>-0.08645533141</v>
      </c>
      <c r="J57" s="12">
        <f t="shared" si="2"/>
        <v>-0.03927021257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10">
        <v>45926.0</v>
      </c>
      <c r="B58" s="11">
        <v>3210.0</v>
      </c>
      <c r="C58" s="8">
        <v>3180.0</v>
      </c>
      <c r="D58" s="8">
        <v>3220.0</v>
      </c>
      <c r="E58" s="8">
        <v>3110.0</v>
      </c>
      <c r="F58" s="11" t="s">
        <v>349</v>
      </c>
      <c r="G58" s="8" t="s">
        <v>350</v>
      </c>
      <c r="H58" s="8"/>
      <c r="I58" s="12">
        <f t="shared" si="1"/>
        <v>0.01261829653</v>
      </c>
      <c r="J58" s="12">
        <f t="shared" si="2"/>
        <v>0.005445770187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10">
        <v>45929.0</v>
      </c>
      <c r="B59" s="11">
        <v>3300.0</v>
      </c>
      <c r="C59" s="8">
        <v>3250.0</v>
      </c>
      <c r="D59" s="8">
        <v>3330.0</v>
      </c>
      <c r="E59" s="8">
        <v>3220.0</v>
      </c>
      <c r="F59" s="11" t="s">
        <v>351</v>
      </c>
      <c r="G59" s="8" t="s">
        <v>352</v>
      </c>
      <c r="H59" s="8"/>
      <c r="I59" s="12">
        <f t="shared" si="1"/>
        <v>0.02803738318</v>
      </c>
      <c r="J59" s="12">
        <f t="shared" si="2"/>
        <v>0.01200890747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10">
        <v>45930.0</v>
      </c>
      <c r="B60" s="11">
        <v>3160.0</v>
      </c>
      <c r="C60" s="8">
        <v>3340.0</v>
      </c>
      <c r="D60" s="8">
        <v>3350.0</v>
      </c>
      <c r="E60" s="8">
        <v>3150.0</v>
      </c>
      <c r="F60" s="11" t="s">
        <v>358</v>
      </c>
      <c r="G60" s="8" t="s">
        <v>359</v>
      </c>
      <c r="H60" s="8"/>
      <c r="I60" s="12">
        <f t="shared" si="1"/>
        <v>-0.04242424242</v>
      </c>
      <c r="J60" s="12">
        <f t="shared" si="2"/>
        <v>-0.01882685726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10">
        <v>45931.0</v>
      </c>
      <c r="B61" s="11">
        <v>3210.0</v>
      </c>
      <c r="C61" s="8">
        <v>3200.0</v>
      </c>
      <c r="D61" s="8">
        <v>3230.0</v>
      </c>
      <c r="E61" s="8">
        <v>3160.0</v>
      </c>
      <c r="F61" s="11" t="s">
        <v>365</v>
      </c>
      <c r="G61" s="8" t="s">
        <v>366</v>
      </c>
      <c r="H61" s="8"/>
      <c r="I61" s="12">
        <f t="shared" si="1"/>
        <v>0.01582278481</v>
      </c>
      <c r="J61" s="12">
        <f t="shared" si="2"/>
        <v>0.006817949786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10">
        <v>45932.0</v>
      </c>
      <c r="B62" s="11">
        <v>3110.0</v>
      </c>
      <c r="C62" s="8">
        <v>3190.0</v>
      </c>
      <c r="D62" s="8">
        <v>3200.0</v>
      </c>
      <c r="E62" s="8">
        <v>3100.0</v>
      </c>
      <c r="F62" s="11" t="s">
        <v>369</v>
      </c>
      <c r="G62" s="8" t="s">
        <v>370</v>
      </c>
      <c r="H62" s="8"/>
      <c r="I62" s="12">
        <f t="shared" si="1"/>
        <v>-0.03115264798</v>
      </c>
      <c r="J62" s="12">
        <f t="shared" si="2"/>
        <v>-0.01374464338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10">
        <v>45933.0</v>
      </c>
      <c r="B63" s="11">
        <v>3200.0</v>
      </c>
      <c r="C63" s="8">
        <v>3120.0</v>
      </c>
      <c r="D63" s="8">
        <v>3220.0</v>
      </c>
      <c r="E63" s="8">
        <v>3110.0</v>
      </c>
      <c r="F63" s="11" t="s">
        <v>375</v>
      </c>
      <c r="G63" s="8" t="s">
        <v>376</v>
      </c>
      <c r="H63" s="8"/>
      <c r="I63" s="12">
        <f t="shared" si="1"/>
        <v>0.02893890675</v>
      </c>
      <c r="J63" s="12">
        <f t="shared" si="2"/>
        <v>0.01238958929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10">
        <v>45936.0</v>
      </c>
      <c r="B64" s="11">
        <v>3190.0</v>
      </c>
      <c r="C64" s="8">
        <v>3260.0</v>
      </c>
      <c r="D64" s="8">
        <v>3300.0</v>
      </c>
      <c r="E64" s="8">
        <v>3180.0</v>
      </c>
      <c r="F64" s="11" t="s">
        <v>380</v>
      </c>
      <c r="G64" s="8" t="s">
        <v>203</v>
      </c>
      <c r="H64" s="8"/>
      <c r="I64" s="12">
        <f t="shared" si="1"/>
        <v>-0.003125</v>
      </c>
      <c r="J64" s="12">
        <f t="shared" si="2"/>
        <v>-0.001359295263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10">
        <v>45937.0</v>
      </c>
      <c r="B65" s="11">
        <v>3140.0</v>
      </c>
      <c r="C65" s="8">
        <v>3220.0</v>
      </c>
      <c r="D65" s="8">
        <v>3250.0</v>
      </c>
      <c r="E65" s="8">
        <v>3130.0</v>
      </c>
      <c r="F65" s="11" t="s">
        <v>387</v>
      </c>
      <c r="G65" s="8" t="s">
        <v>389</v>
      </c>
      <c r="H65" s="8"/>
      <c r="I65" s="12">
        <f t="shared" si="1"/>
        <v>-0.01567398119</v>
      </c>
      <c r="J65" s="12">
        <f t="shared" si="2"/>
        <v>-0.006861034984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10">
        <v>45938.0</v>
      </c>
      <c r="B66" s="11">
        <v>3330.0</v>
      </c>
      <c r="C66" s="8">
        <v>3170.0</v>
      </c>
      <c r="D66" s="8">
        <v>3380.0</v>
      </c>
      <c r="E66" s="8">
        <v>3150.0</v>
      </c>
      <c r="F66" s="11" t="s">
        <v>394</v>
      </c>
      <c r="G66" s="8" t="s">
        <v>395</v>
      </c>
      <c r="H66" s="8"/>
      <c r="I66" s="12">
        <f t="shared" si="1"/>
        <v>0.06050955414</v>
      </c>
      <c r="J66" s="12">
        <f t="shared" si="2"/>
        <v>0.02551458543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10"/>
      <c r="B67" s="11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10"/>
      <c r="B68" s="11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10"/>
      <c r="B69" s="11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10"/>
      <c r="B70" s="11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10"/>
      <c r="B71" s="11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10"/>
      <c r="B72" s="11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10"/>
      <c r="B73" s="11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10"/>
      <c r="B74" s="11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10"/>
      <c r="B75" s="11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10"/>
      <c r="B76" s="11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10"/>
      <c r="B77" s="11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10"/>
      <c r="B78" s="11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10"/>
      <c r="B79" s="11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10"/>
      <c r="B80" s="11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10"/>
      <c r="B81" s="11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10"/>
      <c r="B82" s="11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10"/>
      <c r="B83" s="11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10"/>
      <c r="B84" s="11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10"/>
      <c r="B85" s="11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10"/>
      <c r="B86" s="11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10"/>
      <c r="B87" s="11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10"/>
      <c r="B88" s="11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10"/>
      <c r="B89" s="11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10"/>
      <c r="B90" s="11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10"/>
      <c r="B91" s="11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10"/>
      <c r="B92" s="11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10"/>
      <c r="B93" s="11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10"/>
      <c r="B94" s="11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10"/>
      <c r="B95" s="11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10"/>
      <c r="B96" s="11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10"/>
      <c r="B97" s="11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10"/>
      <c r="B98" s="11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10"/>
      <c r="B99" s="11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10"/>
      <c r="B100" s="11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10"/>
      <c r="B101" s="11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10"/>
      <c r="B102" s="11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10"/>
      <c r="B103" s="11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10"/>
      <c r="B104" s="11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10"/>
      <c r="B105" s="11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10"/>
      <c r="B106" s="11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10"/>
      <c r="B107" s="11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10"/>
      <c r="B108" s="11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10"/>
      <c r="B109" s="11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10"/>
      <c r="B110" s="11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10"/>
      <c r="B111" s="11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10"/>
      <c r="B112" s="11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10"/>
      <c r="B113" s="11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10"/>
      <c r="B114" s="11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10"/>
      <c r="B115" s="11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10"/>
      <c r="B116" s="11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10"/>
      <c r="B117" s="11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10"/>
      <c r="B118" s="11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10"/>
      <c r="B119" s="11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10"/>
      <c r="B120" s="11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10"/>
      <c r="B121" s="11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10"/>
      <c r="B122" s="11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10"/>
      <c r="B123" s="11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10"/>
      <c r="B124" s="11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10"/>
      <c r="B125" s="11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10"/>
      <c r="B126" s="11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10"/>
      <c r="B127" s="11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10"/>
      <c r="B128" s="11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10"/>
      <c r="B129" s="11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10"/>
      <c r="B130" s="11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10"/>
      <c r="B131" s="11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10"/>
      <c r="B132" s="11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10"/>
      <c r="B133" s="11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10"/>
      <c r="B134" s="11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10"/>
      <c r="B135" s="11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10"/>
      <c r="B136" s="11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10"/>
      <c r="B137" s="11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10"/>
      <c r="B138" s="11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10"/>
      <c r="B139" s="11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10"/>
      <c r="B140" s="11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10"/>
      <c r="B141" s="11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10"/>
      <c r="B142" s="11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10"/>
      <c r="B143" s="11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10"/>
      <c r="B144" s="11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10"/>
      <c r="B145" s="11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10"/>
      <c r="B146" s="11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10"/>
      <c r="B147" s="11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10"/>
      <c r="B148" s="11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10"/>
      <c r="B149" s="11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10"/>
      <c r="B150" s="11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10"/>
      <c r="B151" s="11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10"/>
      <c r="B152" s="11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10"/>
      <c r="B153" s="11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10"/>
      <c r="B154" s="11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10"/>
      <c r="B155" s="11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10"/>
      <c r="B156" s="11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10"/>
      <c r="B157" s="11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10"/>
      <c r="B158" s="11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10"/>
      <c r="B159" s="11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10"/>
      <c r="B160" s="11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10"/>
      <c r="B161" s="11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10"/>
      <c r="B162" s="11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10"/>
      <c r="B163" s="11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10"/>
      <c r="B164" s="11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10"/>
      <c r="B165" s="11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10"/>
      <c r="B166" s="11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10"/>
      <c r="B167" s="11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10"/>
      <c r="B168" s="11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10"/>
      <c r="B169" s="11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10"/>
      <c r="B170" s="11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10"/>
      <c r="B171" s="11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10"/>
      <c r="B172" s="11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10"/>
      <c r="B173" s="11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10"/>
      <c r="B174" s="11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10"/>
      <c r="B175" s="11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10"/>
      <c r="B176" s="11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10"/>
      <c r="B177" s="11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10"/>
      <c r="B178" s="11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10"/>
      <c r="B179" s="11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10"/>
      <c r="B180" s="11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10"/>
      <c r="B181" s="11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10"/>
      <c r="B182" s="11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10"/>
      <c r="B183" s="11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10"/>
      <c r="B184" s="11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10"/>
      <c r="B185" s="11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10"/>
      <c r="B186" s="11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10"/>
      <c r="B187" s="11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10"/>
      <c r="B188" s="11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10"/>
      <c r="B189" s="11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10"/>
      <c r="B190" s="11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10"/>
      <c r="B191" s="11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10"/>
      <c r="B192" s="11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10"/>
      <c r="B193" s="11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10"/>
      <c r="B194" s="11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10"/>
      <c r="B195" s="11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10"/>
      <c r="B196" s="11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10"/>
      <c r="B197" s="11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10"/>
      <c r="B198" s="11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10"/>
      <c r="B199" s="11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10"/>
      <c r="B200" s="11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10"/>
      <c r="B201" s="11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10"/>
      <c r="B202" s="11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10"/>
      <c r="B203" s="11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10"/>
      <c r="B204" s="11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10"/>
      <c r="B205" s="11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10"/>
      <c r="B206" s="11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10"/>
      <c r="B207" s="11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10"/>
      <c r="B208" s="11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10"/>
      <c r="B209" s="11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10"/>
      <c r="B210" s="11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10"/>
      <c r="B211" s="11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10"/>
      <c r="B212" s="11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10"/>
      <c r="B213" s="11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10"/>
      <c r="B214" s="11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10"/>
      <c r="B215" s="11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10"/>
      <c r="B216" s="11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10"/>
      <c r="B217" s="11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10"/>
      <c r="B218" s="11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10"/>
      <c r="B219" s="11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10"/>
      <c r="B220" s="11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10"/>
      <c r="B221" s="11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10"/>
      <c r="B222" s="11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10"/>
      <c r="B223" s="11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10"/>
      <c r="B224" s="11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10"/>
      <c r="B225" s="11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10"/>
      <c r="B226" s="11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10"/>
      <c r="B227" s="11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10"/>
      <c r="B228" s="11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10"/>
      <c r="B229" s="11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10"/>
      <c r="B230" s="11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10"/>
      <c r="B231" s="11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10"/>
      <c r="B232" s="11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10"/>
      <c r="B233" s="11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10"/>
      <c r="B234" s="11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10"/>
      <c r="B235" s="11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10"/>
      <c r="B236" s="11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10"/>
      <c r="B237" s="11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10"/>
      <c r="B238" s="11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10"/>
      <c r="B239" s="11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10"/>
      <c r="B240" s="11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10"/>
      <c r="B241" s="11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10"/>
      <c r="B242" s="11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10"/>
      <c r="B243" s="11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10"/>
      <c r="B244" s="11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10"/>
      <c r="B245" s="11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10"/>
      <c r="B246" s="11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10"/>
      <c r="B247" s="11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10"/>
      <c r="B248" s="11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10"/>
      <c r="B249" s="11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10"/>
      <c r="B250" s="11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10"/>
      <c r="B251" s="11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10"/>
      <c r="B252" s="11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10"/>
      <c r="B253" s="11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10"/>
      <c r="B254" s="11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10"/>
      <c r="B255" s="11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10"/>
      <c r="B256" s="11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10"/>
      <c r="B257" s="11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10"/>
      <c r="B258" s="11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10"/>
      <c r="B259" s="11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10"/>
      <c r="B260" s="11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10"/>
      <c r="B261" s="11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10"/>
      <c r="B262" s="11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10"/>
      <c r="B263" s="11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10"/>
      <c r="B264" s="11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10"/>
      <c r="B265" s="11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10"/>
      <c r="B266" s="11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10"/>
      <c r="B267" s="11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10"/>
      <c r="B268" s="11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10"/>
      <c r="B269" s="11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10"/>
      <c r="B270" s="11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10"/>
      <c r="B271" s="11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10"/>
      <c r="B272" s="11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10"/>
      <c r="B273" s="11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10"/>
      <c r="B274" s="11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10"/>
      <c r="B275" s="11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10"/>
      <c r="B276" s="11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10"/>
      <c r="B277" s="11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10"/>
      <c r="B278" s="11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10"/>
      <c r="B279" s="11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10"/>
      <c r="B280" s="11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10"/>
      <c r="B281" s="11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10"/>
      <c r="B282" s="11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10"/>
      <c r="B283" s="11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10"/>
      <c r="B284" s="11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10"/>
      <c r="B285" s="11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10"/>
      <c r="B286" s="11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10"/>
      <c r="B287" s="11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10"/>
      <c r="B288" s="11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10"/>
      <c r="B289" s="11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10"/>
      <c r="B290" s="11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10"/>
      <c r="B291" s="11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10"/>
      <c r="B292" s="11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10"/>
      <c r="B293" s="11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10"/>
      <c r="B294" s="11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10"/>
      <c r="B295" s="11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10"/>
      <c r="B296" s="11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10"/>
      <c r="B297" s="11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10"/>
      <c r="B298" s="11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10"/>
      <c r="B299" s="11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10"/>
      <c r="B300" s="11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10"/>
      <c r="B301" s="11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10"/>
      <c r="B302" s="11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10"/>
      <c r="B303" s="11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10"/>
      <c r="B304" s="11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10"/>
      <c r="B305" s="11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10"/>
      <c r="B306" s="11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10"/>
      <c r="B307" s="11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10"/>
      <c r="B308" s="11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10"/>
      <c r="B309" s="11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10"/>
      <c r="B310" s="11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10"/>
      <c r="B311" s="11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10"/>
      <c r="B312" s="11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10"/>
      <c r="B313" s="11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10"/>
      <c r="B314" s="11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10"/>
      <c r="B315" s="11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10"/>
      <c r="B316" s="11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10"/>
      <c r="B317" s="11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10"/>
      <c r="B318" s="11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10"/>
      <c r="B319" s="11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10"/>
      <c r="B320" s="11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10"/>
      <c r="B321" s="11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10"/>
      <c r="B322" s="11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10"/>
      <c r="B323" s="11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10"/>
      <c r="B324" s="11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10"/>
      <c r="B325" s="11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10"/>
      <c r="B326" s="11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10"/>
      <c r="B327" s="11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10"/>
      <c r="B328" s="11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10"/>
      <c r="B329" s="11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10"/>
      <c r="B330" s="11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10"/>
      <c r="B331" s="11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10"/>
      <c r="B332" s="11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10"/>
      <c r="B333" s="11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10"/>
      <c r="B334" s="11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10"/>
      <c r="B335" s="11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10"/>
      <c r="B336" s="11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10"/>
      <c r="B337" s="11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10"/>
      <c r="B338" s="11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10"/>
      <c r="B339" s="11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10"/>
      <c r="B340" s="11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10"/>
      <c r="B341" s="11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10"/>
      <c r="B342" s="11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10"/>
      <c r="B343" s="11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10"/>
      <c r="B344" s="11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10"/>
      <c r="B345" s="11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10"/>
      <c r="B346" s="11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10"/>
      <c r="B347" s="11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10"/>
      <c r="B348" s="11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10"/>
      <c r="B349" s="11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10"/>
      <c r="B350" s="11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10"/>
      <c r="B351" s="11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10"/>
      <c r="B352" s="11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10"/>
      <c r="B353" s="11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10"/>
      <c r="B354" s="11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10"/>
      <c r="B355" s="11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10"/>
      <c r="B356" s="11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10"/>
      <c r="B357" s="11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10"/>
      <c r="B358" s="11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10"/>
      <c r="B359" s="11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10"/>
      <c r="B360" s="11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10"/>
      <c r="B361" s="11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10"/>
      <c r="B362" s="11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10"/>
      <c r="B363" s="11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10"/>
      <c r="B364" s="11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10"/>
      <c r="B365" s="11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10"/>
      <c r="B366" s="11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10"/>
      <c r="B367" s="11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10"/>
      <c r="B368" s="11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10"/>
      <c r="B369" s="11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10"/>
      <c r="B370" s="11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10"/>
      <c r="B371" s="11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10"/>
      <c r="B372" s="11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10"/>
      <c r="B373" s="11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10"/>
      <c r="B374" s="11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10"/>
      <c r="B375" s="11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10"/>
      <c r="B376" s="11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10"/>
      <c r="B377" s="11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10"/>
      <c r="B378" s="11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10"/>
      <c r="B379" s="11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10"/>
      <c r="B380" s="11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10"/>
      <c r="B381" s="11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10"/>
      <c r="B382" s="11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10"/>
      <c r="B383" s="11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10"/>
      <c r="B384" s="11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10"/>
      <c r="B385" s="11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10"/>
      <c r="B386" s="11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10"/>
      <c r="B387" s="11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10"/>
      <c r="B388" s="11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10"/>
      <c r="B389" s="11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10"/>
      <c r="B390" s="11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10"/>
      <c r="B391" s="11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10"/>
      <c r="B392" s="11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10"/>
      <c r="B393" s="11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10"/>
      <c r="B394" s="11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10"/>
      <c r="B395" s="11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10"/>
      <c r="B396" s="11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10"/>
      <c r="B397" s="11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10"/>
      <c r="B398" s="11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10"/>
      <c r="B399" s="11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10"/>
      <c r="B400" s="11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10"/>
      <c r="B401" s="11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10"/>
      <c r="B402" s="11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10"/>
      <c r="B403" s="11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10"/>
      <c r="B404" s="11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10"/>
      <c r="B405" s="11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10"/>
      <c r="B406" s="11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10"/>
      <c r="B407" s="11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10"/>
      <c r="B408" s="11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10"/>
      <c r="B409" s="11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10"/>
      <c r="B410" s="11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10"/>
      <c r="B411" s="11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10"/>
      <c r="B412" s="11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10"/>
      <c r="B413" s="11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10"/>
      <c r="B414" s="11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10"/>
      <c r="B415" s="11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10"/>
      <c r="B416" s="11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10"/>
      <c r="B417" s="11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10"/>
      <c r="B418" s="11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10"/>
      <c r="B419" s="11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10"/>
      <c r="B420" s="11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10"/>
      <c r="B421" s="11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10"/>
      <c r="B422" s="11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10"/>
      <c r="B423" s="11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10"/>
      <c r="B424" s="11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10"/>
      <c r="B425" s="11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10"/>
      <c r="B426" s="11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10"/>
      <c r="B427" s="11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10"/>
      <c r="B428" s="11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10"/>
      <c r="B429" s="11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10"/>
      <c r="B430" s="11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10"/>
      <c r="B431" s="11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10"/>
      <c r="B432" s="11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10"/>
      <c r="B433" s="11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10"/>
      <c r="B434" s="11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10"/>
      <c r="B435" s="11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10"/>
      <c r="B436" s="11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10"/>
      <c r="B437" s="11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10"/>
      <c r="B438" s="11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10"/>
      <c r="B439" s="11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10"/>
      <c r="B440" s="11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10"/>
      <c r="B441" s="11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10"/>
      <c r="B442" s="11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10"/>
      <c r="B443" s="11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10"/>
      <c r="B444" s="11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10"/>
      <c r="B445" s="11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10"/>
      <c r="B446" s="11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10"/>
      <c r="B447" s="11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10"/>
      <c r="B448" s="11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10"/>
      <c r="B449" s="11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10"/>
      <c r="B450" s="11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10"/>
      <c r="B451" s="11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10"/>
      <c r="B452" s="11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10"/>
      <c r="B453" s="11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10"/>
      <c r="B454" s="11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10"/>
      <c r="B455" s="11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10"/>
      <c r="B456" s="11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10"/>
      <c r="B457" s="11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10"/>
      <c r="B458" s="11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10"/>
      <c r="B459" s="11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10"/>
      <c r="B460" s="11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10"/>
      <c r="B461" s="11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10"/>
      <c r="B462" s="11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10"/>
      <c r="B463" s="11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10"/>
      <c r="B464" s="11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10"/>
      <c r="B465" s="11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10"/>
      <c r="B466" s="11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10"/>
      <c r="B467" s="11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10"/>
      <c r="B468" s="11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10"/>
      <c r="B469" s="11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10"/>
      <c r="B470" s="11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10"/>
      <c r="B471" s="11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10"/>
      <c r="B472" s="11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10"/>
      <c r="B473" s="11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10"/>
      <c r="B474" s="11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10"/>
      <c r="B475" s="11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10"/>
      <c r="B476" s="11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10"/>
      <c r="B477" s="11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10"/>
      <c r="B478" s="11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10"/>
      <c r="B479" s="11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10"/>
      <c r="B480" s="11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10"/>
      <c r="B481" s="11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10"/>
      <c r="B482" s="11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10"/>
      <c r="B483" s="11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10"/>
      <c r="B484" s="11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10"/>
      <c r="B485" s="11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10"/>
      <c r="B486" s="11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10"/>
      <c r="B487" s="11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10"/>
      <c r="B488" s="11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10"/>
      <c r="B489" s="11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10"/>
      <c r="B490" s="11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10"/>
      <c r="B491" s="11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10"/>
      <c r="B492" s="11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10"/>
      <c r="B493" s="11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10"/>
      <c r="B494" s="11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10"/>
      <c r="B495" s="11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10"/>
      <c r="B496" s="11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10"/>
      <c r="B497" s="11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10"/>
      <c r="B498" s="11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10"/>
      <c r="B499" s="11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10"/>
      <c r="B500" s="11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10"/>
      <c r="B501" s="11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10"/>
      <c r="B502" s="11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10"/>
      <c r="B503" s="11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10"/>
      <c r="B504" s="11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10"/>
      <c r="B505" s="11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10"/>
      <c r="B506" s="11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10"/>
      <c r="B507" s="11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10"/>
      <c r="B508" s="11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10"/>
      <c r="B509" s="11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10"/>
      <c r="B510" s="11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10"/>
      <c r="B511" s="11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10"/>
      <c r="B512" s="11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10"/>
      <c r="B513" s="11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10"/>
      <c r="B514" s="11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10"/>
      <c r="B515" s="11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10"/>
      <c r="B516" s="11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10"/>
      <c r="B517" s="11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10"/>
      <c r="B518" s="11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10"/>
      <c r="B519" s="11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10"/>
      <c r="B520" s="11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10"/>
      <c r="B521" s="11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10"/>
      <c r="B522" s="11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10"/>
      <c r="B523" s="11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10"/>
      <c r="B524" s="11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10"/>
      <c r="B525" s="11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10"/>
      <c r="B526" s="11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10"/>
      <c r="B527" s="11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10"/>
      <c r="B528" s="11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10"/>
      <c r="B529" s="11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10"/>
      <c r="B530" s="11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10"/>
      <c r="B531" s="11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10"/>
      <c r="B532" s="11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10"/>
      <c r="B533" s="11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10"/>
      <c r="B534" s="11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10"/>
      <c r="B535" s="11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10"/>
      <c r="B536" s="11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10"/>
      <c r="B537" s="11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10"/>
      <c r="B538" s="11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10"/>
      <c r="B539" s="11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10"/>
      <c r="B540" s="11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10"/>
      <c r="B541" s="11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10"/>
      <c r="B542" s="11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10"/>
      <c r="B543" s="11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10"/>
      <c r="B544" s="11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10"/>
      <c r="B545" s="11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10"/>
      <c r="B546" s="11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10"/>
      <c r="B547" s="11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10"/>
      <c r="B548" s="11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10"/>
      <c r="B549" s="11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10"/>
      <c r="B550" s="11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10"/>
      <c r="B551" s="11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10"/>
      <c r="B552" s="11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10"/>
      <c r="B553" s="11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10"/>
      <c r="B554" s="11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10"/>
      <c r="B555" s="11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10"/>
      <c r="B556" s="11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10"/>
      <c r="B557" s="11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10"/>
      <c r="B558" s="11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10"/>
      <c r="B559" s="11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10"/>
      <c r="B560" s="11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10"/>
      <c r="B561" s="11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10"/>
      <c r="B562" s="11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10"/>
      <c r="B563" s="11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10"/>
      <c r="B564" s="11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10"/>
      <c r="B565" s="11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10"/>
      <c r="B566" s="11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10"/>
      <c r="B567" s="11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10"/>
      <c r="B568" s="11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10"/>
      <c r="B569" s="11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10"/>
      <c r="B570" s="11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10"/>
      <c r="B571" s="11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10"/>
      <c r="B572" s="11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10"/>
      <c r="B573" s="11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10"/>
      <c r="B574" s="11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10"/>
      <c r="B575" s="11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10"/>
      <c r="B576" s="11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10"/>
      <c r="B577" s="11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10"/>
      <c r="B578" s="11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10"/>
      <c r="B579" s="11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10"/>
      <c r="B580" s="11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10"/>
      <c r="B581" s="11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10"/>
      <c r="B582" s="11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10"/>
      <c r="B583" s="11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10"/>
      <c r="B584" s="11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10"/>
      <c r="B585" s="11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10"/>
      <c r="B586" s="11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10"/>
      <c r="B587" s="11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10"/>
      <c r="B588" s="11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10"/>
      <c r="B589" s="11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10"/>
      <c r="B590" s="11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10"/>
      <c r="B591" s="11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10"/>
      <c r="B592" s="11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10"/>
      <c r="B593" s="11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10"/>
      <c r="B594" s="11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10"/>
      <c r="B595" s="11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10"/>
      <c r="B596" s="11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10"/>
      <c r="B597" s="11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10"/>
      <c r="B598" s="11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10"/>
      <c r="B599" s="11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10"/>
      <c r="B600" s="11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10"/>
      <c r="B601" s="11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10"/>
      <c r="B602" s="11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10"/>
      <c r="B603" s="11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10"/>
      <c r="B604" s="11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10"/>
      <c r="B605" s="11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10"/>
      <c r="B606" s="11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10"/>
      <c r="B607" s="11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10"/>
      <c r="B608" s="11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10"/>
      <c r="B609" s="11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10"/>
      <c r="B610" s="11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10"/>
      <c r="B611" s="11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10"/>
      <c r="B612" s="11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10"/>
      <c r="B613" s="11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10"/>
      <c r="B614" s="11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10"/>
      <c r="B615" s="11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10"/>
      <c r="B616" s="11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10"/>
      <c r="B617" s="11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10"/>
      <c r="B618" s="11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10"/>
      <c r="B619" s="11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10"/>
      <c r="B620" s="11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10"/>
      <c r="B621" s="11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10"/>
      <c r="B622" s="11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10"/>
      <c r="B623" s="11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10"/>
      <c r="B624" s="11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10"/>
      <c r="B625" s="11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10"/>
      <c r="B626" s="11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10"/>
      <c r="B627" s="11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10"/>
      <c r="B628" s="11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10"/>
      <c r="B629" s="11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10"/>
      <c r="B630" s="11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10"/>
      <c r="B631" s="11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10"/>
      <c r="B632" s="11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10"/>
      <c r="B633" s="11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10"/>
      <c r="B634" s="11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10"/>
      <c r="B635" s="11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10"/>
      <c r="B636" s="11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10"/>
      <c r="B637" s="11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10"/>
      <c r="B638" s="11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10"/>
      <c r="B639" s="11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10"/>
      <c r="B640" s="11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10"/>
      <c r="B641" s="11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10"/>
      <c r="B642" s="11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10"/>
      <c r="B643" s="11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10"/>
      <c r="B644" s="11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10"/>
      <c r="B645" s="11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10"/>
      <c r="B646" s="11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10"/>
      <c r="B647" s="11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10"/>
      <c r="B648" s="11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10"/>
      <c r="B649" s="11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10"/>
      <c r="B650" s="11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10"/>
      <c r="B651" s="11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10"/>
      <c r="B652" s="11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10"/>
      <c r="B653" s="11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10"/>
      <c r="B654" s="11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10"/>
      <c r="B655" s="11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10"/>
      <c r="B656" s="11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10"/>
      <c r="B657" s="11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10"/>
      <c r="B658" s="11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10"/>
      <c r="B659" s="11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10"/>
      <c r="B660" s="11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10"/>
      <c r="B661" s="11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10"/>
      <c r="B662" s="11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10"/>
      <c r="B663" s="11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10"/>
      <c r="B664" s="11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10"/>
      <c r="B665" s="11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10"/>
      <c r="B666" s="11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10"/>
      <c r="B667" s="11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10"/>
      <c r="B668" s="11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10"/>
      <c r="B669" s="11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10"/>
      <c r="B670" s="11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10"/>
      <c r="B671" s="11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10"/>
      <c r="B672" s="11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10"/>
      <c r="B673" s="11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10"/>
      <c r="B674" s="11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10"/>
      <c r="B675" s="11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10"/>
      <c r="B676" s="11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10"/>
      <c r="B677" s="11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10"/>
      <c r="B678" s="11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10"/>
      <c r="B679" s="11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10"/>
      <c r="B680" s="11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10"/>
      <c r="B681" s="11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10"/>
      <c r="B682" s="11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10"/>
      <c r="B683" s="11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10"/>
      <c r="B684" s="11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10"/>
      <c r="B685" s="11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10"/>
      <c r="B686" s="11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10"/>
      <c r="B687" s="11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10"/>
      <c r="B688" s="11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10"/>
      <c r="B689" s="11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10"/>
      <c r="B690" s="11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10"/>
      <c r="B691" s="11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10"/>
      <c r="B692" s="11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10"/>
      <c r="B693" s="11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10"/>
      <c r="B694" s="11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10"/>
      <c r="B695" s="11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10"/>
      <c r="B696" s="11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10"/>
      <c r="B697" s="11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10"/>
      <c r="B698" s="11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10"/>
      <c r="B699" s="11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10"/>
      <c r="B700" s="11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10"/>
      <c r="B701" s="11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10"/>
      <c r="B702" s="11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10"/>
      <c r="B703" s="11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10"/>
      <c r="B704" s="11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10"/>
      <c r="B705" s="11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10"/>
      <c r="B706" s="11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10"/>
      <c r="B707" s="11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10"/>
      <c r="B708" s="11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10"/>
      <c r="B709" s="11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10"/>
      <c r="B710" s="11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10"/>
      <c r="B711" s="11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10"/>
      <c r="B712" s="11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10"/>
      <c r="B713" s="11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10"/>
      <c r="B714" s="11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10"/>
      <c r="B715" s="11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10"/>
      <c r="B716" s="11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10"/>
      <c r="B717" s="11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10"/>
      <c r="B718" s="11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10"/>
      <c r="B719" s="11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10"/>
      <c r="B720" s="11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10"/>
      <c r="B721" s="11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10"/>
      <c r="B722" s="11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10"/>
      <c r="B723" s="11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10"/>
      <c r="B724" s="11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10"/>
      <c r="B725" s="11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10"/>
      <c r="B726" s="11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10"/>
      <c r="B727" s="11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10"/>
      <c r="B728" s="11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10"/>
      <c r="B729" s="11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10"/>
      <c r="B730" s="11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10"/>
      <c r="B731" s="11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10"/>
      <c r="B732" s="11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10"/>
      <c r="B733" s="11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10"/>
      <c r="B734" s="11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10"/>
      <c r="B735" s="11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10"/>
      <c r="B736" s="11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10"/>
      <c r="B737" s="11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10"/>
      <c r="B738" s="11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10"/>
      <c r="B739" s="11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10"/>
      <c r="B740" s="11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10"/>
      <c r="B741" s="11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10"/>
      <c r="B742" s="11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10"/>
      <c r="B743" s="11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10"/>
      <c r="B744" s="11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10"/>
      <c r="B745" s="11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10"/>
      <c r="B746" s="11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10"/>
      <c r="B747" s="11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10"/>
      <c r="B748" s="11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10"/>
      <c r="B749" s="11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10"/>
      <c r="B750" s="11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10"/>
      <c r="B751" s="11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10"/>
      <c r="B752" s="11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10"/>
      <c r="B753" s="11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10"/>
      <c r="B754" s="11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10"/>
      <c r="B755" s="11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10"/>
      <c r="B756" s="11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10"/>
      <c r="B757" s="11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10"/>
      <c r="B758" s="11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10"/>
      <c r="B759" s="11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10"/>
      <c r="B760" s="11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10"/>
      <c r="B761" s="11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10"/>
      <c r="B762" s="11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10"/>
      <c r="B763" s="11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10"/>
      <c r="B764" s="11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10"/>
      <c r="B765" s="11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10"/>
      <c r="B766" s="11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10"/>
      <c r="B767" s="11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10"/>
      <c r="B768" s="11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10"/>
      <c r="B769" s="11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10"/>
      <c r="B770" s="11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10"/>
      <c r="B771" s="11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10"/>
      <c r="B772" s="11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10"/>
      <c r="B773" s="11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10"/>
      <c r="B774" s="11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10"/>
      <c r="B775" s="11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10"/>
      <c r="B776" s="11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10"/>
      <c r="B777" s="11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10"/>
      <c r="B778" s="11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10"/>
      <c r="B779" s="11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10"/>
      <c r="B780" s="11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10"/>
      <c r="B781" s="11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10"/>
      <c r="B782" s="11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10"/>
      <c r="B783" s="11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10"/>
      <c r="B784" s="11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10"/>
      <c r="B785" s="11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10"/>
      <c r="B786" s="11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10"/>
      <c r="B787" s="11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10"/>
      <c r="B788" s="11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10"/>
      <c r="B789" s="11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10"/>
      <c r="B790" s="11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10"/>
      <c r="B791" s="11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10"/>
      <c r="B792" s="11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10"/>
      <c r="B793" s="11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10"/>
      <c r="B794" s="11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10"/>
      <c r="B795" s="11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10"/>
      <c r="B796" s="11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10"/>
      <c r="B797" s="11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10"/>
      <c r="B798" s="11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10"/>
      <c r="B799" s="11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10"/>
      <c r="B800" s="11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10"/>
      <c r="B801" s="11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10"/>
      <c r="B802" s="11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10"/>
      <c r="B803" s="11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10"/>
      <c r="B804" s="11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10"/>
      <c r="B805" s="11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10"/>
      <c r="B806" s="11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10"/>
      <c r="B807" s="11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10"/>
      <c r="B808" s="11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10"/>
      <c r="B809" s="11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10"/>
      <c r="B810" s="11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10"/>
      <c r="B811" s="11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10"/>
      <c r="B812" s="11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10"/>
      <c r="B813" s="11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10"/>
      <c r="B814" s="11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10"/>
      <c r="B815" s="11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10"/>
      <c r="B816" s="11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10"/>
      <c r="B817" s="11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10"/>
      <c r="B818" s="11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10"/>
      <c r="B819" s="11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10"/>
      <c r="B820" s="11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10"/>
      <c r="B821" s="11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10"/>
      <c r="B822" s="11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10"/>
      <c r="B823" s="11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10"/>
      <c r="B824" s="11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10"/>
      <c r="B825" s="11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10"/>
      <c r="B826" s="11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10"/>
      <c r="B827" s="11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10"/>
      <c r="B828" s="11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10"/>
      <c r="B829" s="11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10"/>
      <c r="B830" s="11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10"/>
      <c r="B831" s="11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10"/>
      <c r="B832" s="11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10"/>
      <c r="B833" s="11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10"/>
      <c r="B834" s="11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10"/>
      <c r="B835" s="11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10"/>
      <c r="B836" s="11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10"/>
      <c r="B837" s="11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10"/>
      <c r="B838" s="11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10"/>
      <c r="B839" s="11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10"/>
      <c r="B840" s="11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10"/>
      <c r="B841" s="11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10"/>
      <c r="B842" s="11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10"/>
      <c r="B843" s="11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10"/>
      <c r="B844" s="11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10"/>
      <c r="B845" s="11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10"/>
      <c r="B846" s="11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10"/>
      <c r="B847" s="11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10"/>
      <c r="B848" s="11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10"/>
      <c r="B849" s="11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10"/>
      <c r="B850" s="11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10"/>
      <c r="B851" s="11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10"/>
      <c r="B852" s="11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10"/>
      <c r="B853" s="11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10"/>
      <c r="B854" s="11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10"/>
      <c r="B855" s="11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10"/>
      <c r="B856" s="11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10"/>
      <c r="B857" s="11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10"/>
      <c r="B858" s="11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10"/>
      <c r="B859" s="11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10"/>
      <c r="B860" s="11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10"/>
      <c r="B861" s="11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10"/>
      <c r="B862" s="11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10"/>
      <c r="B863" s="11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10"/>
      <c r="B864" s="11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10"/>
      <c r="B865" s="11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10"/>
      <c r="B866" s="11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10"/>
      <c r="B867" s="11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10"/>
      <c r="B868" s="11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10"/>
      <c r="B869" s="11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10"/>
      <c r="B870" s="11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10"/>
      <c r="B871" s="11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10"/>
      <c r="B872" s="11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10"/>
      <c r="B873" s="11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10"/>
      <c r="B874" s="11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10"/>
      <c r="B875" s="11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10"/>
      <c r="B876" s="11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10"/>
      <c r="B877" s="11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10"/>
      <c r="B878" s="11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10"/>
      <c r="B879" s="11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10"/>
      <c r="B880" s="11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10"/>
      <c r="B881" s="11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10"/>
      <c r="B882" s="11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10"/>
      <c r="B883" s="11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10"/>
      <c r="B884" s="11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10"/>
      <c r="B885" s="11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10"/>
      <c r="B886" s="11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10"/>
      <c r="B887" s="11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10"/>
      <c r="B888" s="11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10"/>
      <c r="B889" s="11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10"/>
      <c r="B890" s="11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10"/>
      <c r="B891" s="11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10"/>
      <c r="B892" s="11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10"/>
      <c r="B893" s="11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10"/>
      <c r="B894" s="11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10"/>
      <c r="B895" s="11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10"/>
      <c r="B896" s="11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10"/>
      <c r="B897" s="11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10"/>
      <c r="B898" s="11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10"/>
      <c r="B899" s="11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10"/>
      <c r="B900" s="11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10"/>
      <c r="B901" s="11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10"/>
      <c r="B902" s="11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10"/>
      <c r="B903" s="11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10"/>
      <c r="B904" s="11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10"/>
      <c r="B905" s="11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10"/>
      <c r="B906" s="11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10"/>
      <c r="B907" s="11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10"/>
      <c r="B908" s="11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10"/>
      <c r="B909" s="11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10"/>
      <c r="B910" s="11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10"/>
      <c r="B911" s="11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10"/>
      <c r="B912" s="11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10"/>
      <c r="B913" s="11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10"/>
      <c r="B914" s="11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10"/>
      <c r="B915" s="11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10"/>
      <c r="B916" s="11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10"/>
      <c r="B917" s="11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10"/>
      <c r="B918" s="11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10"/>
      <c r="B919" s="11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10"/>
      <c r="B920" s="11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10"/>
      <c r="B921" s="11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10"/>
      <c r="B922" s="11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10"/>
      <c r="B923" s="11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10"/>
      <c r="B924" s="11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10"/>
      <c r="B925" s="11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10"/>
      <c r="B926" s="11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10"/>
      <c r="B927" s="11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10"/>
      <c r="B928" s="11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10"/>
      <c r="B929" s="11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10"/>
      <c r="B930" s="11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10"/>
      <c r="B931" s="11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10"/>
      <c r="B932" s="11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10"/>
      <c r="B933" s="11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10"/>
      <c r="B934" s="11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10"/>
      <c r="B935" s="11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10"/>
      <c r="B936" s="11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10"/>
      <c r="B937" s="11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10"/>
      <c r="B938" s="11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10"/>
      <c r="B939" s="11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10"/>
      <c r="B940" s="11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10"/>
      <c r="B941" s="11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10"/>
      <c r="B942" s="11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10"/>
      <c r="B943" s="11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10"/>
      <c r="B944" s="11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10"/>
      <c r="B945" s="11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10"/>
      <c r="B946" s="11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10"/>
      <c r="B947" s="11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10"/>
      <c r="B948" s="11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10"/>
      <c r="B949" s="11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10"/>
      <c r="B950" s="11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10"/>
      <c r="B951" s="11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10"/>
      <c r="B952" s="11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10"/>
      <c r="B953" s="11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10"/>
      <c r="B954" s="11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10"/>
      <c r="B955" s="11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10"/>
      <c r="B956" s="11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10"/>
      <c r="B957" s="11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10"/>
      <c r="B958" s="11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10"/>
      <c r="B959" s="11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10"/>
      <c r="B960" s="11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10"/>
      <c r="B961" s="11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10"/>
      <c r="B962" s="11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10"/>
      <c r="B963" s="11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10"/>
      <c r="B964" s="11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10"/>
      <c r="B965" s="11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10"/>
      <c r="B966" s="11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10"/>
      <c r="B967" s="11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10"/>
      <c r="B968" s="11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10"/>
      <c r="B969" s="11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10"/>
      <c r="B970" s="11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10"/>
      <c r="B971" s="11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10"/>
      <c r="B972" s="11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10"/>
      <c r="B973" s="11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10"/>
      <c r="B974" s="11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10"/>
      <c r="B975" s="11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10"/>
      <c r="B976" s="11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10"/>
      <c r="B977" s="11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10"/>
      <c r="B978" s="11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10"/>
      <c r="B979" s="11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10"/>
      <c r="B980" s="11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10"/>
      <c r="B981" s="11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10"/>
      <c r="B982" s="11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10"/>
      <c r="B983" s="11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10"/>
      <c r="B984" s="11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10"/>
      <c r="B985" s="11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10"/>
      <c r="B986" s="11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10"/>
      <c r="B987" s="11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10"/>
      <c r="B988" s="11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10"/>
      <c r="B989" s="11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10"/>
      <c r="B990" s="11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10"/>
      <c r="B991" s="11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10"/>
      <c r="B992" s="11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10"/>
      <c r="B993" s="11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10"/>
      <c r="B994" s="11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10"/>
      <c r="B995" s="11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10"/>
      <c r="B996" s="11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10"/>
      <c r="B997" s="11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10"/>
      <c r="B998" s="11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10"/>
      <c r="B999" s="11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10"/>
      <c r="B1000" s="11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1.0527777777777778" footer="0.0" header="0.0" left="0.7875" right="0.7875" top="1.05277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3.86"/>
    <col customWidth="1" min="11" max="11" width="11.57"/>
    <col customWidth="1" min="12" max="12" width="26.57"/>
    <col customWidth="1" min="13" max="26" width="11.57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5" t="s">
        <v>7</v>
      </c>
      <c r="J1" s="5" t="s">
        <v>8</v>
      </c>
      <c r="K1" s="3"/>
      <c r="L1" s="7" t="s">
        <v>9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75" customHeight="1">
      <c r="A2" s="10">
        <v>45846.0</v>
      </c>
      <c r="B2" s="8">
        <v>21600.0</v>
      </c>
      <c r="C2" s="8">
        <v>21450.0</v>
      </c>
      <c r="D2" s="8">
        <v>21600.0</v>
      </c>
      <c r="E2" s="8">
        <v>21400.0</v>
      </c>
      <c r="F2" s="8" t="s">
        <v>10</v>
      </c>
      <c r="G2" s="8" t="s">
        <v>11</v>
      </c>
      <c r="H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10">
        <v>45847.0</v>
      </c>
      <c r="B3" s="8">
        <v>21975.0</v>
      </c>
      <c r="C3" s="8">
        <v>21600.0</v>
      </c>
      <c r="D3" s="8">
        <v>21975.0</v>
      </c>
      <c r="E3" s="8">
        <v>21600.0</v>
      </c>
      <c r="F3" s="8" t="s">
        <v>18</v>
      </c>
      <c r="G3" s="8" t="s">
        <v>19</v>
      </c>
      <c r="H3" s="8"/>
      <c r="I3" s="12">
        <f t="shared" ref="I3:I66" si="1">IFERROR((B3/B2)-1,"")</f>
        <v>0.01736111111</v>
      </c>
      <c r="J3" s="12">
        <f t="shared" ref="J3:J66" si="2">IFERROR(LOG(B3)-LOG(B2),"")</f>
        <v>0.007475132595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10">
        <v>45848.0</v>
      </c>
      <c r="B4" s="8">
        <v>22200.0</v>
      </c>
      <c r="C4" s="8">
        <v>21975.0</v>
      </c>
      <c r="D4" s="8">
        <v>22250.0</v>
      </c>
      <c r="E4" s="8">
        <v>21850.0</v>
      </c>
      <c r="F4" s="8" t="s">
        <v>28</v>
      </c>
      <c r="G4" s="8" t="s">
        <v>30</v>
      </c>
      <c r="H4" s="8"/>
      <c r="I4" s="12">
        <f t="shared" si="1"/>
        <v>0.01023890785</v>
      </c>
      <c r="J4" s="12">
        <f t="shared" si="2"/>
        <v>0.004424090705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10">
        <v>45849.0</v>
      </c>
      <c r="B5" s="8">
        <v>22400.0</v>
      </c>
      <c r="C5" s="8">
        <v>22300.0</v>
      </c>
      <c r="D5" s="8">
        <v>22400.0</v>
      </c>
      <c r="E5" s="8">
        <v>22225.0</v>
      </c>
      <c r="F5" s="8" t="s">
        <v>36</v>
      </c>
      <c r="G5" s="8" t="s">
        <v>37</v>
      </c>
      <c r="H5" s="8"/>
      <c r="I5" s="12">
        <f t="shared" si="1"/>
        <v>0.009009009009</v>
      </c>
      <c r="J5" s="12">
        <f t="shared" si="2"/>
        <v>0.003895043884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10">
        <v>45852.0</v>
      </c>
      <c r="B6" s="8">
        <v>22575.0</v>
      </c>
      <c r="C6" s="8">
        <v>22400.0</v>
      </c>
      <c r="D6" s="8">
        <v>22600.0</v>
      </c>
      <c r="E6" s="8">
        <v>22250.0</v>
      </c>
      <c r="F6" s="8" t="s">
        <v>42</v>
      </c>
      <c r="G6" s="8" t="s">
        <v>43</v>
      </c>
      <c r="H6" s="8"/>
      <c r="I6" s="12">
        <f t="shared" si="1"/>
        <v>0.0078125</v>
      </c>
      <c r="J6" s="12">
        <f t="shared" si="2"/>
        <v>0.003379740651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10">
        <v>45853.0</v>
      </c>
      <c r="B7" s="8">
        <v>22600.0</v>
      </c>
      <c r="C7" s="8">
        <v>22600.0</v>
      </c>
      <c r="D7" s="8">
        <v>22600.0</v>
      </c>
      <c r="E7" s="8">
        <v>22450.0</v>
      </c>
      <c r="F7" s="8" t="s">
        <v>48</v>
      </c>
      <c r="G7" s="8" t="s">
        <v>49</v>
      </c>
      <c r="H7" s="8"/>
      <c r="I7" s="12">
        <f t="shared" si="1"/>
        <v>0.001107419712</v>
      </c>
      <c r="J7" s="12">
        <f t="shared" si="2"/>
        <v>0.0004806801619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10">
        <v>45854.0</v>
      </c>
      <c r="B8" s="8">
        <v>22575.0</v>
      </c>
      <c r="C8" s="8">
        <v>22600.0</v>
      </c>
      <c r="D8" s="8">
        <v>22625.0</v>
      </c>
      <c r="E8" s="8">
        <v>22375.0</v>
      </c>
      <c r="F8" s="8" t="s">
        <v>55</v>
      </c>
      <c r="G8" s="8" t="s">
        <v>56</v>
      </c>
      <c r="H8" s="8"/>
      <c r="I8" s="12">
        <f t="shared" si="1"/>
        <v>-0.00110619469</v>
      </c>
      <c r="J8" s="12">
        <f t="shared" si="2"/>
        <v>-0.0004806801619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10">
        <v>45855.0</v>
      </c>
      <c r="B9" s="8">
        <v>22600.0</v>
      </c>
      <c r="C9" s="8">
        <v>22600.0</v>
      </c>
      <c r="D9" s="8">
        <v>22600.0</v>
      </c>
      <c r="E9" s="8">
        <v>22400.0</v>
      </c>
      <c r="F9" s="8" t="s">
        <v>62</v>
      </c>
      <c r="G9" s="8" t="s">
        <v>49</v>
      </c>
      <c r="H9" s="8"/>
      <c r="I9" s="12">
        <f t="shared" si="1"/>
        <v>0.001107419712</v>
      </c>
      <c r="J9" s="12">
        <f t="shared" si="2"/>
        <v>0.0004806801619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10">
        <v>45856.0</v>
      </c>
      <c r="B10" s="8">
        <v>22475.0</v>
      </c>
      <c r="C10" s="8">
        <v>22625.0</v>
      </c>
      <c r="D10" s="8">
        <v>22775.0</v>
      </c>
      <c r="E10" s="8">
        <v>22475.0</v>
      </c>
      <c r="F10" s="8" t="s">
        <v>55</v>
      </c>
      <c r="G10" s="8" t="s">
        <v>68</v>
      </c>
      <c r="H10" s="8"/>
      <c r="I10" s="12">
        <f t="shared" si="1"/>
        <v>-0.005530973451</v>
      </c>
      <c r="J10" s="12">
        <f t="shared" si="2"/>
        <v>-0.002408738742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10">
        <v>45859.0</v>
      </c>
      <c r="B11" s="8">
        <v>22950.0</v>
      </c>
      <c r="C11" s="8">
        <v>22675.0</v>
      </c>
      <c r="D11" s="8">
        <v>22950.0</v>
      </c>
      <c r="E11" s="8">
        <v>22475.0</v>
      </c>
      <c r="F11" s="8" t="s">
        <v>75</v>
      </c>
      <c r="G11" s="8" t="s">
        <v>77</v>
      </c>
      <c r="H11" s="8"/>
      <c r="I11" s="12">
        <f t="shared" si="1"/>
        <v>0.02113459399</v>
      </c>
      <c r="J11" s="12">
        <f t="shared" si="2"/>
        <v>0.009082989468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10">
        <v>45860.0</v>
      </c>
      <c r="B12" s="8">
        <v>23050.0</v>
      </c>
      <c r="C12" s="8">
        <v>22975.0</v>
      </c>
      <c r="D12" s="8">
        <v>23150.0</v>
      </c>
      <c r="E12" s="8">
        <v>22925.0</v>
      </c>
      <c r="F12" s="8" t="s">
        <v>84</v>
      </c>
      <c r="G12" s="8" t="s">
        <v>86</v>
      </c>
      <c r="H12" s="8"/>
      <c r="I12" s="12">
        <f t="shared" si="1"/>
        <v>0.004357298475</v>
      </c>
      <c r="J12" s="12">
        <f t="shared" si="2"/>
        <v>0.001888239852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10">
        <v>45861.0</v>
      </c>
      <c r="B13" s="8">
        <v>24000.0</v>
      </c>
      <c r="C13" s="8">
        <v>23175.0</v>
      </c>
      <c r="D13" s="8">
        <v>24000.0</v>
      </c>
      <c r="E13" s="8">
        <v>23100.0</v>
      </c>
      <c r="F13" s="8" t="s">
        <v>90</v>
      </c>
      <c r="G13" s="8" t="s">
        <v>91</v>
      </c>
      <c r="H13" s="8"/>
      <c r="I13" s="12">
        <f t="shared" si="1"/>
        <v>0.04121475054</v>
      </c>
      <c r="J13" s="12">
        <f t="shared" si="2"/>
        <v>0.01754031199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10">
        <v>45862.0</v>
      </c>
      <c r="B14" s="8">
        <v>24225.0</v>
      </c>
      <c r="C14" s="8">
        <v>24150.0</v>
      </c>
      <c r="D14" s="8">
        <v>24325.0</v>
      </c>
      <c r="E14" s="8">
        <v>23875.0</v>
      </c>
      <c r="F14" s="8" t="s">
        <v>97</v>
      </c>
      <c r="G14" s="8" t="s">
        <v>100</v>
      </c>
      <c r="H14" s="8"/>
      <c r="I14" s="12">
        <f t="shared" si="1"/>
        <v>0.009375</v>
      </c>
      <c r="J14" s="12">
        <f t="shared" si="2"/>
        <v>0.004052544011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10">
        <v>45863.0</v>
      </c>
      <c r="B15" s="8">
        <v>23850.0</v>
      </c>
      <c r="C15" s="8">
        <v>24225.0</v>
      </c>
      <c r="D15" s="8">
        <v>24225.0</v>
      </c>
      <c r="E15" s="8">
        <v>23725.0</v>
      </c>
      <c r="F15" s="8" t="s">
        <v>105</v>
      </c>
      <c r="G15" s="8" t="s">
        <v>106</v>
      </c>
      <c r="H15" s="8"/>
      <c r="I15" s="12">
        <f t="shared" si="1"/>
        <v>-0.01547987616</v>
      </c>
      <c r="J15" s="12">
        <f t="shared" si="2"/>
        <v>-0.006775402347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10">
        <v>45866.0</v>
      </c>
      <c r="B16" s="8">
        <v>24175.0</v>
      </c>
      <c r="C16" s="8">
        <v>24250.0</v>
      </c>
      <c r="D16" s="8">
        <v>24300.0</v>
      </c>
      <c r="E16" s="8">
        <v>23950.0</v>
      </c>
      <c r="F16" s="8" t="s">
        <v>118</v>
      </c>
      <c r="G16" s="8" t="s">
        <v>119</v>
      </c>
      <c r="H16" s="8"/>
      <c r="I16" s="12">
        <f t="shared" si="1"/>
        <v>0.01362683438</v>
      </c>
      <c r="J16" s="12">
        <f t="shared" si="2"/>
        <v>0.005878099379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10">
        <v>45867.0</v>
      </c>
      <c r="B17" s="8">
        <v>24150.0</v>
      </c>
      <c r="C17" s="8">
        <v>24300.0</v>
      </c>
      <c r="D17" s="8">
        <v>24300.0</v>
      </c>
      <c r="E17" s="8">
        <v>23975.0</v>
      </c>
      <c r="F17" s="8" t="s">
        <v>126</v>
      </c>
      <c r="G17" s="8" t="s">
        <v>127</v>
      </c>
      <c r="H17" s="8"/>
      <c r="I17" s="12">
        <f t="shared" si="1"/>
        <v>-0.001034126163</v>
      </c>
      <c r="J17" s="12">
        <f t="shared" si="2"/>
        <v>-0.0004493476675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10">
        <v>45868.0</v>
      </c>
      <c r="B18" s="8">
        <v>24375.0</v>
      </c>
      <c r="C18" s="8">
        <v>24200.0</v>
      </c>
      <c r="D18" s="8">
        <v>24400.0</v>
      </c>
      <c r="E18" s="8">
        <v>24150.0</v>
      </c>
      <c r="F18" s="8" t="s">
        <v>134</v>
      </c>
      <c r="G18" s="8" t="s">
        <v>135</v>
      </c>
      <c r="H18" s="8"/>
      <c r="I18" s="12">
        <f t="shared" si="1"/>
        <v>0.009316770186</v>
      </c>
      <c r="J18" s="12">
        <f t="shared" si="2"/>
        <v>0.004027489283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10">
        <v>45869.0</v>
      </c>
      <c r="B19" s="8">
        <v>24150.0</v>
      </c>
      <c r="C19" s="8">
        <v>24375.0</v>
      </c>
      <c r="D19" s="8">
        <v>24400.0</v>
      </c>
      <c r="E19" s="8">
        <v>23925.0</v>
      </c>
      <c r="F19" s="8" t="s">
        <v>143</v>
      </c>
      <c r="G19" s="8" t="s">
        <v>145</v>
      </c>
      <c r="H19" s="8"/>
      <c r="I19" s="12">
        <f t="shared" si="1"/>
        <v>-0.009230769231</v>
      </c>
      <c r="J19" s="12">
        <f t="shared" si="2"/>
        <v>-0.004027489283</v>
      </c>
      <c r="K19" s="8"/>
      <c r="L19" s="7" t="s">
        <v>138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10">
        <v>45870.0</v>
      </c>
      <c r="B20" s="8">
        <v>24025.0</v>
      </c>
      <c r="C20" s="8">
        <v>24150.0</v>
      </c>
      <c r="D20" s="8">
        <v>24175.0</v>
      </c>
      <c r="E20" s="8">
        <v>23800.0</v>
      </c>
      <c r="F20" s="8" t="s">
        <v>150</v>
      </c>
      <c r="G20" s="8" t="s">
        <v>151</v>
      </c>
      <c r="H20" s="8"/>
      <c r="I20" s="12">
        <f t="shared" si="1"/>
        <v>-0.005175983437</v>
      </c>
      <c r="J20" s="12">
        <f t="shared" si="2"/>
        <v>-0.002253738747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10">
        <v>45873.0</v>
      </c>
      <c r="B21" s="8">
        <v>24500.0</v>
      </c>
      <c r="C21" s="8">
        <v>24050.0</v>
      </c>
      <c r="D21" s="8">
        <v>24500.0</v>
      </c>
      <c r="E21" s="8">
        <v>23800.0</v>
      </c>
      <c r="F21" s="8" t="s">
        <v>156</v>
      </c>
      <c r="G21" s="8" t="s">
        <v>157</v>
      </c>
      <c r="H21" s="8"/>
      <c r="I21" s="12">
        <f t="shared" si="1"/>
        <v>0.0197710718</v>
      </c>
      <c r="J21" s="12">
        <f t="shared" si="2"/>
        <v>0.008502688024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10">
        <v>45874.0</v>
      </c>
      <c r="B22" s="8">
        <v>24350.0</v>
      </c>
      <c r="C22" s="8">
        <v>24500.0</v>
      </c>
      <c r="D22" s="8">
        <v>24500.0</v>
      </c>
      <c r="E22" s="8">
        <v>24200.0</v>
      </c>
      <c r="F22" s="8" t="s">
        <v>164</v>
      </c>
      <c r="G22" s="8" t="s">
        <v>165</v>
      </c>
      <c r="H22" s="8"/>
      <c r="I22" s="12">
        <f t="shared" si="1"/>
        <v>-0.00612244898</v>
      </c>
      <c r="J22" s="12">
        <f t="shared" si="2"/>
        <v>-0.002667118814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10">
        <v>45875.0</v>
      </c>
      <c r="B23" s="8">
        <v>24050.0</v>
      </c>
      <c r="C23" s="8">
        <v>24350.0</v>
      </c>
      <c r="D23" s="8">
        <v>24375.0</v>
      </c>
      <c r="E23" s="8">
        <v>23925.0</v>
      </c>
      <c r="F23" s="8" t="s">
        <v>173</v>
      </c>
      <c r="G23" s="8" t="s">
        <v>175</v>
      </c>
      <c r="H23" s="8"/>
      <c r="I23" s="12">
        <f t="shared" si="1"/>
        <v>-0.01232032854</v>
      </c>
      <c r="J23" s="12">
        <f t="shared" si="2"/>
        <v>-0.005383884841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10">
        <v>45876.0</v>
      </c>
      <c r="B24" s="8">
        <v>24100.0</v>
      </c>
      <c r="C24" s="8">
        <v>24075.0</v>
      </c>
      <c r="D24" s="8">
        <v>24300.0</v>
      </c>
      <c r="E24" s="8">
        <v>23975.0</v>
      </c>
      <c r="F24" s="8" t="s">
        <v>182</v>
      </c>
      <c r="G24" s="8" t="s">
        <v>183</v>
      </c>
      <c r="H24" s="8"/>
      <c r="I24" s="12">
        <f t="shared" si="1"/>
        <v>0.002079002079</v>
      </c>
      <c r="J24" s="12">
        <f t="shared" si="2"/>
        <v>0.000901961865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10">
        <v>45877.0</v>
      </c>
      <c r="B25" s="8">
        <v>24150.0</v>
      </c>
      <c r="C25" s="8">
        <v>24100.0</v>
      </c>
      <c r="D25" s="8">
        <v>24350.0</v>
      </c>
      <c r="E25" s="8">
        <v>23900.0</v>
      </c>
      <c r="F25" s="8" t="s">
        <v>189</v>
      </c>
      <c r="G25" s="8" t="s">
        <v>183</v>
      </c>
      <c r="H25" s="8"/>
      <c r="I25" s="12">
        <f t="shared" si="1"/>
        <v>0.002074688797</v>
      </c>
      <c r="J25" s="12">
        <f t="shared" si="2"/>
        <v>0.0009000925127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10">
        <v>45880.0</v>
      </c>
      <c r="B26" s="8">
        <v>24275.0</v>
      </c>
      <c r="C26" s="8">
        <v>24200.0</v>
      </c>
      <c r="D26" s="8">
        <v>24450.0</v>
      </c>
      <c r="E26" s="8">
        <v>24125.0</v>
      </c>
      <c r="F26" s="8" t="s">
        <v>193</v>
      </c>
      <c r="G26" s="8" t="s">
        <v>195</v>
      </c>
      <c r="H26" s="8"/>
      <c r="I26" s="12">
        <f t="shared" si="1"/>
        <v>0.005175983437</v>
      </c>
      <c r="J26" s="12">
        <f t="shared" si="2"/>
        <v>0.002242103493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10">
        <v>45881.0</v>
      </c>
      <c r="B27" s="8">
        <v>24200.0</v>
      </c>
      <c r="C27" s="8">
        <v>24275.0</v>
      </c>
      <c r="D27" s="8">
        <v>24475.0</v>
      </c>
      <c r="E27" s="8">
        <v>24100.0</v>
      </c>
      <c r="F27" s="8" t="s">
        <v>202</v>
      </c>
      <c r="G27" s="8" t="s">
        <v>203</v>
      </c>
      <c r="H27" s="8"/>
      <c r="I27" s="12">
        <f t="shared" si="1"/>
        <v>-0.003089598352</v>
      </c>
      <c r="J27" s="12">
        <f t="shared" si="2"/>
        <v>-0.0013438726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10">
        <v>45882.0</v>
      </c>
      <c r="B28" s="8">
        <v>24000.0</v>
      </c>
      <c r="C28" s="8">
        <v>24200.0</v>
      </c>
      <c r="D28" s="8">
        <v>24500.0</v>
      </c>
      <c r="E28" s="8">
        <v>23900.0</v>
      </c>
      <c r="F28" s="8" t="s">
        <v>207</v>
      </c>
      <c r="G28" s="8" t="s">
        <v>208</v>
      </c>
      <c r="H28" s="8"/>
      <c r="I28" s="12">
        <f t="shared" si="1"/>
        <v>-0.00826446281</v>
      </c>
      <c r="J28" s="12">
        <f t="shared" si="2"/>
        <v>-0.003604124269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10">
        <v>45883.0</v>
      </c>
      <c r="B29" s="8">
        <v>24175.0</v>
      </c>
      <c r="C29" s="8">
        <v>24175.0</v>
      </c>
      <c r="D29" s="8">
        <v>24275.0</v>
      </c>
      <c r="E29" s="8">
        <v>24100.0</v>
      </c>
      <c r="F29" s="8" t="s">
        <v>215</v>
      </c>
      <c r="G29" s="8" t="s">
        <v>216</v>
      </c>
      <c r="H29" s="8"/>
      <c r="I29" s="12">
        <f t="shared" si="1"/>
        <v>0.007291666667</v>
      </c>
      <c r="J29" s="12">
        <f t="shared" si="2"/>
        <v>0.003155241043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10">
        <v>45884.0</v>
      </c>
      <c r="B30" s="8">
        <v>24000.0</v>
      </c>
      <c r="C30" s="8">
        <v>24300.0</v>
      </c>
      <c r="D30" s="8">
        <v>24300.0</v>
      </c>
      <c r="E30" s="8">
        <v>24000.0</v>
      </c>
      <c r="F30" s="8" t="s">
        <v>222</v>
      </c>
      <c r="G30" s="8" t="s">
        <v>223</v>
      </c>
      <c r="H30" s="8"/>
      <c r="I30" s="12">
        <f t="shared" si="1"/>
        <v>-0.007238883144</v>
      </c>
      <c r="J30" s="12">
        <f t="shared" si="2"/>
        <v>-0.003155241043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10">
        <v>45888.0</v>
      </c>
      <c r="B31" s="8">
        <v>23675.0</v>
      </c>
      <c r="C31" s="8">
        <v>24000.0</v>
      </c>
      <c r="D31" s="8">
        <v>24000.0</v>
      </c>
      <c r="E31" s="8">
        <v>23250.0</v>
      </c>
      <c r="F31" s="8" t="s">
        <v>232</v>
      </c>
      <c r="G31" s="8" t="s">
        <v>233</v>
      </c>
      <c r="H31" s="8"/>
      <c r="I31" s="12">
        <f t="shared" si="1"/>
        <v>-0.01354166667</v>
      </c>
      <c r="J31" s="12">
        <f t="shared" si="2"/>
        <v>-0.005921254036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10">
        <v>45889.0</v>
      </c>
      <c r="B32" s="8">
        <v>24400.0</v>
      </c>
      <c r="C32" s="8">
        <v>23700.0</v>
      </c>
      <c r="D32" s="8">
        <v>24400.0</v>
      </c>
      <c r="E32" s="8">
        <v>23675.0</v>
      </c>
      <c r="F32" s="8" t="s">
        <v>238</v>
      </c>
      <c r="G32" s="8" t="s">
        <v>241</v>
      </c>
      <c r="H32" s="8"/>
      <c r="I32" s="12">
        <f t="shared" si="1"/>
        <v>0.03062302006</v>
      </c>
      <c r="J32" s="12">
        <f t="shared" si="2"/>
        <v>0.01309983866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10">
        <v>45890.0</v>
      </c>
      <c r="B33" s="8">
        <v>25800.0</v>
      </c>
      <c r="C33" s="8">
        <v>24475.0</v>
      </c>
      <c r="D33" s="8">
        <v>25850.0</v>
      </c>
      <c r="E33" s="8">
        <v>24250.0</v>
      </c>
      <c r="F33" s="8" t="s">
        <v>244</v>
      </c>
      <c r="G33" s="8" t="s">
        <v>245</v>
      </c>
      <c r="H33" s="8"/>
      <c r="I33" s="12">
        <f t="shared" si="1"/>
        <v>0.05737704918</v>
      </c>
      <c r="J33" s="12">
        <f t="shared" si="2"/>
        <v>0.02422987962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10">
        <v>45891.0</v>
      </c>
      <c r="B34" s="8">
        <v>25800.0</v>
      </c>
      <c r="C34" s="8">
        <v>25900.0</v>
      </c>
      <c r="D34" s="8">
        <v>25900.0</v>
      </c>
      <c r="E34" s="8">
        <v>25400.0</v>
      </c>
      <c r="F34" s="8" t="s">
        <v>251</v>
      </c>
      <c r="G34" s="8" t="s">
        <v>31</v>
      </c>
      <c r="H34" s="8"/>
      <c r="I34" s="12">
        <f t="shared" si="1"/>
        <v>0</v>
      </c>
      <c r="J34" s="12">
        <f t="shared" si="2"/>
        <v>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0">
        <v>45894.0</v>
      </c>
      <c r="B35" s="8">
        <v>25225.0</v>
      </c>
      <c r="C35" s="8">
        <v>25875.0</v>
      </c>
      <c r="D35" s="8">
        <v>26125.0</v>
      </c>
      <c r="E35" s="8">
        <v>25225.0</v>
      </c>
      <c r="F35" s="8" t="s">
        <v>256</v>
      </c>
      <c r="G35" s="8" t="s">
        <v>257</v>
      </c>
      <c r="H35" s="8"/>
      <c r="I35" s="12">
        <f t="shared" si="1"/>
        <v>-0.02228682171</v>
      </c>
      <c r="J35" s="12">
        <f t="shared" si="2"/>
        <v>-0.009788531054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0">
        <v>45895.0</v>
      </c>
      <c r="B36" s="8">
        <v>24600.0</v>
      </c>
      <c r="C36" s="8">
        <v>25450.0</v>
      </c>
      <c r="D36" s="8">
        <v>25650.0</v>
      </c>
      <c r="E36" s="8">
        <v>24475.0</v>
      </c>
      <c r="F36" s="8" t="s">
        <v>264</v>
      </c>
      <c r="G36" s="8" t="s">
        <v>265</v>
      </c>
      <c r="H36" s="8"/>
      <c r="I36" s="12">
        <f t="shared" si="1"/>
        <v>-0.02477700694</v>
      </c>
      <c r="J36" s="12">
        <f t="shared" si="2"/>
        <v>-0.01089606781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0">
        <v>45896.0</v>
      </c>
      <c r="B37" s="8">
        <v>25000.0</v>
      </c>
      <c r="C37" s="8">
        <v>24650.0</v>
      </c>
      <c r="D37" s="8">
        <v>25225.0</v>
      </c>
      <c r="E37" s="8">
        <v>24650.0</v>
      </c>
      <c r="F37" s="8" t="s">
        <v>270</v>
      </c>
      <c r="G37" s="8" t="s">
        <v>271</v>
      </c>
      <c r="H37" s="8"/>
      <c r="I37" s="12">
        <f t="shared" si="1"/>
        <v>0.0162601626</v>
      </c>
      <c r="J37" s="12">
        <f t="shared" si="2"/>
        <v>0.007004901569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0">
        <v>45897.0</v>
      </c>
      <c r="B38" s="8">
        <v>24675.0</v>
      </c>
      <c r="C38" s="8">
        <v>25050.0</v>
      </c>
      <c r="D38" s="8">
        <v>25225.0</v>
      </c>
      <c r="E38" s="8">
        <v>24675.0</v>
      </c>
      <c r="F38" s="8" t="s">
        <v>278</v>
      </c>
      <c r="G38" s="8" t="s">
        <v>279</v>
      </c>
      <c r="H38" s="8"/>
      <c r="I38" s="12">
        <f t="shared" si="1"/>
        <v>-0.013</v>
      </c>
      <c r="J38" s="12">
        <f t="shared" si="2"/>
        <v>-0.00568284733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10">
        <v>45898.0</v>
      </c>
      <c r="B39" s="8">
        <v>24400.0</v>
      </c>
      <c r="C39" s="8">
        <v>24600.0</v>
      </c>
      <c r="D39" s="8">
        <v>24800.0</v>
      </c>
      <c r="E39" s="8">
        <v>24350.0</v>
      </c>
      <c r="F39" s="8" t="s">
        <v>97</v>
      </c>
      <c r="G39" s="8" t="s">
        <v>285</v>
      </c>
      <c r="H39" s="8"/>
      <c r="I39" s="12">
        <f t="shared" si="1"/>
        <v>-0.01114488349</v>
      </c>
      <c r="J39" s="12">
        <f t="shared" si="2"/>
        <v>-0.004867335003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10">
        <v>45901.0</v>
      </c>
      <c r="B40" s="8">
        <v>24475.0</v>
      </c>
      <c r="C40" s="8">
        <v>24000.0</v>
      </c>
      <c r="D40" s="8">
        <v>24800.0</v>
      </c>
      <c r="E40" s="8">
        <v>23500.0</v>
      </c>
      <c r="F40" s="8" t="s">
        <v>290</v>
      </c>
      <c r="G40" s="8" t="s">
        <v>291</v>
      </c>
      <c r="H40" s="8"/>
      <c r="I40" s="12">
        <f t="shared" si="1"/>
        <v>0.003073770492</v>
      </c>
      <c r="J40" s="12">
        <f t="shared" si="2"/>
        <v>0.001332874136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10">
        <v>45902.0</v>
      </c>
      <c r="B41" s="8">
        <v>25900.0</v>
      </c>
      <c r="C41" s="8">
        <v>24725.0</v>
      </c>
      <c r="D41" s="8">
        <v>25900.0</v>
      </c>
      <c r="E41" s="8">
        <v>24650.0</v>
      </c>
      <c r="F41" s="8" t="s">
        <v>298</v>
      </c>
      <c r="G41" s="8" t="s">
        <v>299</v>
      </c>
      <c r="H41" s="8"/>
      <c r="I41" s="12">
        <f t="shared" si="1"/>
        <v>0.0582226762</v>
      </c>
      <c r="J41" s="12">
        <f t="shared" si="2"/>
        <v>0.02457706361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10">
        <v>45903.0</v>
      </c>
      <c r="B42" s="8">
        <v>25600.0</v>
      </c>
      <c r="C42" s="8">
        <v>25900.0</v>
      </c>
      <c r="D42" s="8">
        <v>25975.0</v>
      </c>
      <c r="E42" s="8">
        <v>25250.0</v>
      </c>
      <c r="F42" s="8" t="s">
        <v>305</v>
      </c>
      <c r="G42" s="8" t="s">
        <v>306</v>
      </c>
      <c r="H42" s="8"/>
      <c r="I42" s="12">
        <f t="shared" si="1"/>
        <v>-0.01158301158</v>
      </c>
      <c r="J42" s="12">
        <f t="shared" si="2"/>
        <v>-0.005059798769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10">
        <v>45904.0</v>
      </c>
      <c r="B43" s="8">
        <v>25350.0</v>
      </c>
      <c r="C43" s="8">
        <v>25925.0</v>
      </c>
      <c r="D43" s="8">
        <v>26000.0</v>
      </c>
      <c r="E43" s="8">
        <v>25325.0</v>
      </c>
      <c r="F43" s="8" t="s">
        <v>134</v>
      </c>
      <c r="G43" s="8" t="s">
        <v>313</v>
      </c>
      <c r="H43" s="8"/>
      <c r="I43" s="12">
        <f t="shared" si="1"/>
        <v>-0.009765625</v>
      </c>
      <c r="J43" s="12">
        <f t="shared" si="2"/>
        <v>-0.004262001642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10">
        <v>45908.0</v>
      </c>
      <c r="B44" s="8">
        <v>26450.0</v>
      </c>
      <c r="C44" s="8">
        <v>25700.0</v>
      </c>
      <c r="D44" s="8">
        <v>27000.0</v>
      </c>
      <c r="E44" s="8">
        <v>25475.0</v>
      </c>
      <c r="F44" s="8" t="s">
        <v>318</v>
      </c>
      <c r="G44" s="8" t="s">
        <v>319</v>
      </c>
      <c r="H44" s="8"/>
      <c r="I44" s="12">
        <f t="shared" si="1"/>
        <v>0.04339250493</v>
      </c>
      <c r="J44" s="12">
        <f t="shared" si="2"/>
        <v>0.0184477127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10">
        <v>45909.0</v>
      </c>
      <c r="B45" s="8">
        <v>27200.0</v>
      </c>
      <c r="C45" s="8">
        <v>26450.0</v>
      </c>
      <c r="D45" s="8">
        <v>27500.0</v>
      </c>
      <c r="E45" s="8">
        <v>26450.0</v>
      </c>
      <c r="F45" s="8" t="s">
        <v>325</v>
      </c>
      <c r="G45" s="8" t="s">
        <v>326</v>
      </c>
      <c r="H45" s="8"/>
      <c r="I45" s="12">
        <f t="shared" si="1"/>
        <v>0.02835538752</v>
      </c>
      <c r="J45" s="12">
        <f t="shared" si="2"/>
        <v>0.01214322766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10">
        <v>45910.0</v>
      </c>
      <c r="B46" s="8">
        <v>26350.0</v>
      </c>
      <c r="C46" s="8">
        <v>27200.0</v>
      </c>
      <c r="D46" s="8">
        <v>27250.0</v>
      </c>
      <c r="E46" s="8">
        <v>26350.0</v>
      </c>
      <c r="F46" s="8" t="s">
        <v>332</v>
      </c>
      <c r="G46" s="8" t="s">
        <v>334</v>
      </c>
      <c r="H46" s="8"/>
      <c r="I46" s="12">
        <f t="shared" si="1"/>
        <v>-0.03125</v>
      </c>
      <c r="J46" s="12">
        <f t="shared" si="2"/>
        <v>-0.01378828449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10">
        <v>45911.0</v>
      </c>
      <c r="B47" s="8">
        <v>26525.0</v>
      </c>
      <c r="C47" s="8">
        <v>27175.0</v>
      </c>
      <c r="D47" s="8">
        <v>27175.0</v>
      </c>
      <c r="E47" s="8">
        <v>26350.0</v>
      </c>
      <c r="F47" s="8" t="s">
        <v>339</v>
      </c>
      <c r="G47" s="8" t="s">
        <v>340</v>
      </c>
      <c r="H47" s="8"/>
      <c r="I47" s="12">
        <f t="shared" si="1"/>
        <v>0.006641366224</v>
      </c>
      <c r="J47" s="12">
        <f t="shared" si="2"/>
        <v>0.002874773025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10">
        <v>45912.0</v>
      </c>
      <c r="B48" s="8">
        <v>26475.0</v>
      </c>
      <c r="C48" s="8">
        <v>26650.0</v>
      </c>
      <c r="D48" s="8">
        <v>26650.0</v>
      </c>
      <c r="E48" s="8">
        <v>26175.0</v>
      </c>
      <c r="F48" s="8" t="s">
        <v>347</v>
      </c>
      <c r="G48" s="8" t="s">
        <v>348</v>
      </c>
      <c r="H48" s="8"/>
      <c r="I48" s="12">
        <f t="shared" si="1"/>
        <v>-0.001885014138</v>
      </c>
      <c r="J48" s="12">
        <f t="shared" si="2"/>
        <v>-0.0008194237939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10">
        <v>45915.0</v>
      </c>
      <c r="B49" s="8">
        <v>26300.0</v>
      </c>
      <c r="C49" s="8">
        <v>26700.0</v>
      </c>
      <c r="D49" s="8">
        <v>27075.0</v>
      </c>
      <c r="E49" s="8">
        <v>26300.0</v>
      </c>
      <c r="F49" s="8" t="s">
        <v>355</v>
      </c>
      <c r="G49" s="8" t="s">
        <v>357</v>
      </c>
      <c r="H49" s="8"/>
      <c r="I49" s="12">
        <f t="shared" si="1"/>
        <v>-0.006610009443</v>
      </c>
      <c r="J49" s="12">
        <f t="shared" si="2"/>
        <v>-0.00288022029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10">
        <v>45916.0</v>
      </c>
      <c r="B50" s="8">
        <v>26700.0</v>
      </c>
      <c r="C50" s="8">
        <v>26450.0</v>
      </c>
      <c r="D50" s="8">
        <v>26775.0</v>
      </c>
      <c r="E50" s="8">
        <v>26225.0</v>
      </c>
      <c r="F50" s="8" t="s">
        <v>360</v>
      </c>
      <c r="G50" s="8" t="s">
        <v>361</v>
      </c>
      <c r="H50" s="8"/>
      <c r="I50" s="12">
        <f t="shared" si="1"/>
        <v>0.01520912548</v>
      </c>
      <c r="J50" s="12">
        <f t="shared" si="2"/>
        <v>0.006555512875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10">
        <v>45917.0</v>
      </c>
      <c r="B51" s="8">
        <v>27000.0</v>
      </c>
      <c r="C51" s="8">
        <v>26725.0</v>
      </c>
      <c r="D51" s="8">
        <v>27000.0</v>
      </c>
      <c r="E51" s="8">
        <v>26725.0</v>
      </c>
      <c r="F51" s="8" t="s">
        <v>367</v>
      </c>
      <c r="G51" s="8" t="s">
        <v>368</v>
      </c>
      <c r="H51" s="8"/>
      <c r="I51" s="12">
        <f t="shared" si="1"/>
        <v>0.01123595506</v>
      </c>
      <c r="J51" s="12">
        <f t="shared" si="2"/>
        <v>0.004852502794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10">
        <v>45918.0</v>
      </c>
      <c r="B52" s="8">
        <v>26400.0</v>
      </c>
      <c r="C52" s="8">
        <v>27000.0</v>
      </c>
      <c r="D52" s="8">
        <v>27000.0</v>
      </c>
      <c r="E52" s="8">
        <v>26400.0</v>
      </c>
      <c r="F52" s="8" t="s">
        <v>355</v>
      </c>
      <c r="G52" s="8" t="s">
        <v>377</v>
      </c>
      <c r="H52" s="8"/>
      <c r="I52" s="12">
        <f t="shared" si="1"/>
        <v>-0.02222222222</v>
      </c>
      <c r="J52" s="12">
        <f t="shared" si="2"/>
        <v>-0.009759837289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10">
        <v>45919.0</v>
      </c>
      <c r="B53" s="8">
        <v>26750.0</v>
      </c>
      <c r="C53" s="8">
        <v>26625.0</v>
      </c>
      <c r="D53" s="8">
        <v>26775.0</v>
      </c>
      <c r="E53" s="8">
        <v>26300.0</v>
      </c>
      <c r="F53" s="8" t="s">
        <v>383</v>
      </c>
      <c r="G53" s="8" t="s">
        <v>384</v>
      </c>
      <c r="H53" s="8"/>
      <c r="I53" s="12">
        <f t="shared" si="1"/>
        <v>0.01325757576</v>
      </c>
      <c r="J53" s="12">
        <f t="shared" si="2"/>
        <v>0.005719859487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10">
        <v>45922.0</v>
      </c>
      <c r="B54" s="8">
        <v>26750.0</v>
      </c>
      <c r="C54" s="8">
        <v>26950.0</v>
      </c>
      <c r="D54" s="8">
        <v>26975.0</v>
      </c>
      <c r="E54" s="8">
        <v>26550.0</v>
      </c>
      <c r="F54" s="8" t="s">
        <v>390</v>
      </c>
      <c r="G54" s="8" t="s">
        <v>31</v>
      </c>
      <c r="H54" s="8"/>
      <c r="I54" s="12">
        <f t="shared" si="1"/>
        <v>0</v>
      </c>
      <c r="J54" s="12">
        <f t="shared" si="2"/>
        <v>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10">
        <v>45923.0</v>
      </c>
      <c r="B55" s="8">
        <v>27200.0</v>
      </c>
      <c r="C55" s="8">
        <v>26850.0</v>
      </c>
      <c r="D55" s="8">
        <v>27250.0</v>
      </c>
      <c r="E55" s="8">
        <v>26675.0</v>
      </c>
      <c r="F55" s="8" t="s">
        <v>396</v>
      </c>
      <c r="G55" s="8" t="s">
        <v>397</v>
      </c>
      <c r="H55" s="8"/>
      <c r="I55" s="12">
        <f t="shared" si="1"/>
        <v>0.01682242991</v>
      </c>
      <c r="J55" s="12">
        <f t="shared" si="2"/>
        <v>0.007245117677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10">
        <v>45924.0</v>
      </c>
      <c r="B56" s="8">
        <v>26650.0</v>
      </c>
      <c r="C56" s="8">
        <v>27450.0</v>
      </c>
      <c r="D56" s="8">
        <v>27450.0</v>
      </c>
      <c r="E56" s="8">
        <v>26650.0</v>
      </c>
      <c r="F56" s="8" t="s">
        <v>402</v>
      </c>
      <c r="G56" s="8" t="s">
        <v>403</v>
      </c>
      <c r="H56" s="8"/>
      <c r="I56" s="12">
        <f t="shared" si="1"/>
        <v>-0.02022058824</v>
      </c>
      <c r="J56" s="12">
        <f t="shared" si="2"/>
        <v>-0.008871690672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10">
        <v>45925.0</v>
      </c>
      <c r="B57" s="8">
        <v>26675.0</v>
      </c>
      <c r="C57" s="8">
        <v>26700.0</v>
      </c>
      <c r="D57" s="8">
        <v>26900.0</v>
      </c>
      <c r="E57" s="8">
        <v>26425.0</v>
      </c>
      <c r="F57" s="8" t="s">
        <v>407</v>
      </c>
      <c r="G57" s="8" t="s">
        <v>409</v>
      </c>
      <c r="H57" s="8"/>
      <c r="I57" s="12">
        <f t="shared" si="1"/>
        <v>0.0009380863039</v>
      </c>
      <c r="J57" s="12">
        <f t="shared" si="2"/>
        <v>0.0004072147339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10">
        <v>45926.0</v>
      </c>
      <c r="B58" s="8">
        <v>26350.0</v>
      </c>
      <c r="C58" s="8">
        <v>26700.0</v>
      </c>
      <c r="D58" s="8">
        <v>26825.0</v>
      </c>
      <c r="E58" s="8">
        <v>26325.0</v>
      </c>
      <c r="F58" s="8" t="s">
        <v>412</v>
      </c>
      <c r="G58" s="8" t="s">
        <v>302</v>
      </c>
      <c r="H58" s="8"/>
      <c r="I58" s="12">
        <f t="shared" si="1"/>
        <v>-0.0121836926</v>
      </c>
      <c r="J58" s="12">
        <f t="shared" si="2"/>
        <v>-0.005323808548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10">
        <v>45929.0</v>
      </c>
      <c r="B59" s="8">
        <v>26925.0</v>
      </c>
      <c r="C59" s="8">
        <v>26675.0</v>
      </c>
      <c r="D59" s="8">
        <v>27150.0</v>
      </c>
      <c r="E59" s="8">
        <v>26450.0</v>
      </c>
      <c r="F59" s="8" t="s">
        <v>416</v>
      </c>
      <c r="G59" s="8" t="s">
        <v>417</v>
      </c>
      <c r="H59" s="8"/>
      <c r="I59" s="12">
        <f t="shared" si="1"/>
        <v>0.02182163188</v>
      </c>
      <c r="J59" s="12">
        <f t="shared" si="2"/>
        <v>0.009375092421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10">
        <v>45930.0</v>
      </c>
      <c r="B60" s="8">
        <v>26775.0</v>
      </c>
      <c r="C60" s="8">
        <v>27300.0</v>
      </c>
      <c r="D60" s="8">
        <v>27300.0</v>
      </c>
      <c r="E60" s="8">
        <v>26525.0</v>
      </c>
      <c r="F60" s="8" t="s">
        <v>420</v>
      </c>
      <c r="G60" s="8" t="s">
        <v>421</v>
      </c>
      <c r="H60" s="8"/>
      <c r="I60" s="12">
        <f t="shared" si="1"/>
        <v>-0.005571030641</v>
      </c>
      <c r="J60" s="12">
        <f t="shared" si="2"/>
        <v>-0.002426232466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10">
        <v>45931.0</v>
      </c>
      <c r="B61" s="8">
        <v>26050.0</v>
      </c>
      <c r="C61" s="8">
        <v>26800.0</v>
      </c>
      <c r="D61" s="8">
        <v>26800.0</v>
      </c>
      <c r="E61" s="8">
        <v>26000.0</v>
      </c>
      <c r="F61" s="8" t="s">
        <v>425</v>
      </c>
      <c r="G61" s="8" t="s">
        <v>426</v>
      </c>
      <c r="H61" s="8"/>
      <c r="I61" s="12">
        <f t="shared" si="1"/>
        <v>-0.02707749767</v>
      </c>
      <c r="J61" s="12">
        <f t="shared" si="2"/>
        <v>-0.01192175187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10">
        <v>45932.0</v>
      </c>
      <c r="B62" s="8">
        <v>26150.0</v>
      </c>
      <c r="C62" s="8">
        <v>26275.0</v>
      </c>
      <c r="D62" s="8">
        <v>26325.0</v>
      </c>
      <c r="E62" s="8">
        <v>26075.0</v>
      </c>
      <c r="F62" s="8" t="s">
        <v>430</v>
      </c>
      <c r="G62" s="8" t="s">
        <v>140</v>
      </c>
      <c r="H62" s="8"/>
      <c r="I62" s="12">
        <f t="shared" si="1"/>
        <v>0.003838771593</v>
      </c>
      <c r="J62" s="12">
        <f t="shared" si="2"/>
        <v>0.001663965568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10">
        <v>45933.0</v>
      </c>
      <c r="B63" s="8">
        <v>26500.0</v>
      </c>
      <c r="C63" s="8">
        <v>26150.0</v>
      </c>
      <c r="D63" s="8">
        <v>26875.0</v>
      </c>
      <c r="E63" s="8">
        <v>26150.0</v>
      </c>
      <c r="F63" s="8" t="s">
        <v>434</v>
      </c>
      <c r="G63" s="8" t="s">
        <v>46</v>
      </c>
      <c r="H63" s="8"/>
      <c r="I63" s="12">
        <f t="shared" si="1"/>
        <v>0.01338432122</v>
      </c>
      <c r="J63" s="12">
        <f t="shared" si="2"/>
        <v>0.005774180734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10">
        <v>45936.0</v>
      </c>
      <c r="B64" s="8">
        <v>26400.0</v>
      </c>
      <c r="C64" s="8">
        <v>26500.0</v>
      </c>
      <c r="D64" s="8">
        <v>26525.0</v>
      </c>
      <c r="E64" s="8">
        <v>26200.0</v>
      </c>
      <c r="F64" s="8" t="s">
        <v>412</v>
      </c>
      <c r="G64" s="8" t="s">
        <v>436</v>
      </c>
      <c r="H64" s="8"/>
      <c r="I64" s="12">
        <f t="shared" si="1"/>
        <v>-0.003773584906</v>
      </c>
      <c r="J64" s="12">
        <f t="shared" si="2"/>
        <v>-0.001641947067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10">
        <v>45937.0</v>
      </c>
      <c r="B65" s="8">
        <v>25600.0</v>
      </c>
      <c r="C65" s="8">
        <v>26250.0</v>
      </c>
      <c r="D65" s="8">
        <v>26300.0</v>
      </c>
      <c r="E65" s="8">
        <v>25500.0</v>
      </c>
      <c r="F65" s="8" t="s">
        <v>440</v>
      </c>
      <c r="G65" s="8" t="s">
        <v>441</v>
      </c>
      <c r="H65" s="8"/>
      <c r="I65" s="12">
        <f t="shared" si="1"/>
        <v>-0.0303030303</v>
      </c>
      <c r="J65" s="12">
        <f t="shared" si="2"/>
        <v>-0.01336396156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10">
        <v>45938.0</v>
      </c>
      <c r="B66" s="8">
        <v>25175.0</v>
      </c>
      <c r="C66" s="8">
        <v>25225.0</v>
      </c>
      <c r="D66" s="8">
        <v>25225.0</v>
      </c>
      <c r="E66" s="8">
        <v>24725.0</v>
      </c>
      <c r="F66" s="8" t="s">
        <v>447</v>
      </c>
      <c r="G66" s="8" t="s">
        <v>448</v>
      </c>
      <c r="H66" s="8"/>
      <c r="I66" s="12">
        <f t="shared" si="1"/>
        <v>-0.0166015625</v>
      </c>
      <c r="J66" s="12">
        <f t="shared" si="2"/>
        <v>-0.007270486086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1.0527777777777778" footer="0.0" header="0.0" left="0.7875" right="0.7875" top="1.05277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5.0"/>
    <col customWidth="1" min="11" max="11" width="11.57"/>
    <col customWidth="1" min="12" max="12" width="26.57"/>
    <col customWidth="1" min="13" max="26" width="11.57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5" t="s">
        <v>7</v>
      </c>
      <c r="J1" s="5" t="s">
        <v>8</v>
      </c>
      <c r="K1" s="6"/>
      <c r="L1" s="9" t="s">
        <v>9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75" customHeight="1">
      <c r="A2" s="10">
        <v>45846.0</v>
      </c>
      <c r="B2" s="8">
        <v>2080.0</v>
      </c>
      <c r="C2" s="8">
        <v>2060.0</v>
      </c>
      <c r="D2" s="8">
        <v>2120.0</v>
      </c>
      <c r="E2" s="8">
        <v>2060.0</v>
      </c>
      <c r="F2" s="8" t="s">
        <v>15</v>
      </c>
      <c r="G2" s="8" t="s">
        <v>17</v>
      </c>
      <c r="H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10">
        <v>45847.0</v>
      </c>
      <c r="B3" s="8">
        <v>2110.0</v>
      </c>
      <c r="C3" s="8">
        <v>2120.0</v>
      </c>
      <c r="D3" s="8">
        <v>2160.0</v>
      </c>
      <c r="E3" s="8">
        <v>2080.0</v>
      </c>
      <c r="F3" s="8" t="s">
        <v>20</v>
      </c>
      <c r="G3" s="8" t="s">
        <v>22</v>
      </c>
      <c r="H3" s="8"/>
      <c r="I3" s="12">
        <f t="shared" ref="I3:I66" si="1">IFERROR((B3/B2)-1,"")</f>
        <v>0.01442307692</v>
      </c>
      <c r="J3" s="12">
        <f t="shared" ref="J3:J66" si="2">IFERROR(LOG(B3)-LOG(B2),"")</f>
        <v>0.006219120335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10">
        <v>45848.0</v>
      </c>
      <c r="B4" s="8">
        <v>2110.0</v>
      </c>
      <c r="C4" s="8">
        <v>2150.0</v>
      </c>
      <c r="D4" s="8">
        <v>2170.0</v>
      </c>
      <c r="E4" s="8">
        <v>2090.0</v>
      </c>
      <c r="F4" s="8" t="s">
        <v>29</v>
      </c>
      <c r="G4" s="8" t="s">
        <v>31</v>
      </c>
      <c r="H4" s="8"/>
      <c r="I4" s="12">
        <f t="shared" si="1"/>
        <v>0</v>
      </c>
      <c r="J4" s="12">
        <f t="shared" si="2"/>
        <v>0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10">
        <v>45849.0</v>
      </c>
      <c r="B5" s="8">
        <v>2110.0</v>
      </c>
      <c r="C5" s="8">
        <v>2130.0</v>
      </c>
      <c r="D5" s="8">
        <v>2130.0</v>
      </c>
      <c r="E5" s="8">
        <v>2080.0</v>
      </c>
      <c r="F5" s="8" t="s">
        <v>35</v>
      </c>
      <c r="G5" s="8" t="s">
        <v>31</v>
      </c>
      <c r="H5" s="8"/>
      <c r="I5" s="12">
        <f t="shared" si="1"/>
        <v>0</v>
      </c>
      <c r="J5" s="12">
        <f t="shared" si="2"/>
        <v>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10">
        <v>45852.0</v>
      </c>
      <c r="B6" s="8">
        <v>2090.0</v>
      </c>
      <c r="C6" s="8">
        <v>2130.0</v>
      </c>
      <c r="D6" s="8">
        <v>2130.0</v>
      </c>
      <c r="E6" s="8">
        <v>2050.0</v>
      </c>
      <c r="F6" s="8" t="s">
        <v>40</v>
      </c>
      <c r="G6" s="8" t="s">
        <v>41</v>
      </c>
      <c r="H6" s="8"/>
      <c r="I6" s="12">
        <f t="shared" si="1"/>
        <v>-0.009478672986</v>
      </c>
      <c r="J6" s="12">
        <f t="shared" si="2"/>
        <v>-0.004136169187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10">
        <v>45853.0</v>
      </c>
      <c r="B7" s="8">
        <v>2150.0</v>
      </c>
      <c r="C7" s="8">
        <v>2100.0</v>
      </c>
      <c r="D7" s="8">
        <v>2150.0</v>
      </c>
      <c r="E7" s="8">
        <v>2060.0</v>
      </c>
      <c r="F7" s="8" t="s">
        <v>61</v>
      </c>
      <c r="G7" s="8" t="s">
        <v>63</v>
      </c>
      <c r="H7" s="8"/>
      <c r="I7" s="12">
        <f t="shared" si="1"/>
        <v>0.02870813397</v>
      </c>
      <c r="J7" s="12">
        <f t="shared" si="2"/>
        <v>0.0122921738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10">
        <v>45854.0</v>
      </c>
      <c r="B8" s="8">
        <v>2130.0</v>
      </c>
      <c r="C8" s="8">
        <v>2180.0</v>
      </c>
      <c r="D8" s="8">
        <v>2210.0</v>
      </c>
      <c r="E8" s="8">
        <v>2130.0</v>
      </c>
      <c r="F8" s="8" t="s">
        <v>69</v>
      </c>
      <c r="G8" s="8" t="s">
        <v>70</v>
      </c>
      <c r="H8" s="8"/>
      <c r="I8" s="12">
        <f t="shared" si="1"/>
        <v>-0.009302325581</v>
      </c>
      <c r="J8" s="12">
        <f t="shared" si="2"/>
        <v>-0.004058856477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10">
        <v>45855.0</v>
      </c>
      <c r="B9" s="8">
        <v>2210.0</v>
      </c>
      <c r="C9" s="8">
        <v>2160.0</v>
      </c>
      <c r="D9" s="8">
        <v>2220.0</v>
      </c>
      <c r="E9" s="8">
        <v>2130.0</v>
      </c>
      <c r="F9" s="8" t="s">
        <v>79</v>
      </c>
      <c r="G9" s="8" t="s">
        <v>80</v>
      </c>
      <c r="H9" s="8"/>
      <c r="I9" s="12">
        <f t="shared" si="1"/>
        <v>0.03755868545</v>
      </c>
      <c r="J9" s="12">
        <f t="shared" si="2"/>
        <v>0.01601267025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10">
        <v>45856.0</v>
      </c>
      <c r="B10" s="8">
        <v>2420.0</v>
      </c>
      <c r="C10" s="8">
        <v>2220.0</v>
      </c>
      <c r="D10" s="8">
        <v>2420.0</v>
      </c>
      <c r="E10" s="8">
        <v>2170.0</v>
      </c>
      <c r="F10" s="8" t="s">
        <v>87</v>
      </c>
      <c r="G10" s="8" t="s">
        <v>89</v>
      </c>
      <c r="H10" s="8"/>
      <c r="I10" s="12">
        <f t="shared" si="1"/>
        <v>0.09502262443</v>
      </c>
      <c r="J10" s="12">
        <f t="shared" si="2"/>
        <v>0.0394230923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10">
        <v>45859.0</v>
      </c>
      <c r="B11" s="8">
        <v>2450.0</v>
      </c>
      <c r="C11" s="8">
        <v>2450.0</v>
      </c>
      <c r="D11" s="8">
        <v>2550.0</v>
      </c>
      <c r="E11" s="8">
        <v>2400.0</v>
      </c>
      <c r="F11" s="8" t="s">
        <v>96</v>
      </c>
      <c r="G11" s="8" t="s">
        <v>99</v>
      </c>
      <c r="H11" s="8"/>
      <c r="I11" s="12">
        <f t="shared" si="1"/>
        <v>0.01239669421</v>
      </c>
      <c r="J11" s="12">
        <f t="shared" si="2"/>
        <v>0.005350718384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10">
        <v>45860.0</v>
      </c>
      <c r="B12" s="8">
        <v>2340.0</v>
      </c>
      <c r="C12" s="8">
        <v>2500.0</v>
      </c>
      <c r="D12" s="8">
        <v>2560.0</v>
      </c>
      <c r="E12" s="8">
        <v>2310.0</v>
      </c>
      <c r="F12" s="8" t="s">
        <v>107</v>
      </c>
      <c r="G12" s="8" t="s">
        <v>109</v>
      </c>
      <c r="H12" s="8"/>
      <c r="I12" s="12">
        <f t="shared" si="1"/>
        <v>-0.04489795918</v>
      </c>
      <c r="J12" s="12">
        <f t="shared" si="2"/>
        <v>-0.01995022695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10">
        <v>45861.0</v>
      </c>
      <c r="B13" s="8">
        <v>2440.0</v>
      </c>
      <c r="C13" s="8">
        <v>2380.0</v>
      </c>
      <c r="D13" s="8">
        <v>2470.0</v>
      </c>
      <c r="E13" s="8">
        <v>2360.0</v>
      </c>
      <c r="F13" s="8" t="s">
        <v>112</v>
      </c>
      <c r="G13" s="8" t="s">
        <v>113</v>
      </c>
      <c r="H13" s="8"/>
      <c r="I13" s="12">
        <f t="shared" si="1"/>
        <v>0.04273504274</v>
      </c>
      <c r="J13" s="12">
        <f t="shared" si="2"/>
        <v>0.01817396893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10">
        <v>45862.0</v>
      </c>
      <c r="B14" s="8">
        <v>2420.0</v>
      </c>
      <c r="C14" s="8">
        <v>2440.0</v>
      </c>
      <c r="D14" s="8">
        <v>2490.0</v>
      </c>
      <c r="E14" s="8">
        <v>2380.0</v>
      </c>
      <c r="F14" s="8" t="s">
        <v>121</v>
      </c>
      <c r="G14" s="8" t="s">
        <v>123</v>
      </c>
      <c r="H14" s="8"/>
      <c r="I14" s="12">
        <f t="shared" si="1"/>
        <v>-0.008196721311</v>
      </c>
      <c r="J14" s="12">
        <f t="shared" si="2"/>
        <v>-0.003574460358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10">
        <v>45863.0</v>
      </c>
      <c r="B15" s="8">
        <v>2370.0</v>
      </c>
      <c r="C15" s="8">
        <v>2420.0</v>
      </c>
      <c r="D15" s="8">
        <v>2440.0</v>
      </c>
      <c r="E15" s="8">
        <v>2370.0</v>
      </c>
      <c r="F15" s="8" t="s">
        <v>130</v>
      </c>
      <c r="G15" s="8" t="s">
        <v>132</v>
      </c>
      <c r="H15" s="8"/>
      <c r="I15" s="12">
        <f t="shared" si="1"/>
        <v>-0.02066115702</v>
      </c>
      <c r="J15" s="12">
        <f t="shared" si="2"/>
        <v>-0.00906701997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10">
        <v>45866.0</v>
      </c>
      <c r="B16" s="8">
        <v>2590.0</v>
      </c>
      <c r="C16" s="8">
        <v>2360.0</v>
      </c>
      <c r="D16" s="8">
        <v>2590.0</v>
      </c>
      <c r="E16" s="8">
        <v>2360.0</v>
      </c>
      <c r="F16" s="8" t="s">
        <v>139</v>
      </c>
      <c r="G16" s="8" t="s">
        <v>141</v>
      </c>
      <c r="H16" s="8"/>
      <c r="I16" s="12">
        <f t="shared" si="1"/>
        <v>0.09282700422</v>
      </c>
      <c r="J16" s="12">
        <f t="shared" si="2"/>
        <v>0.03855141807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10">
        <v>45867.0</v>
      </c>
      <c r="B17" s="8">
        <v>2640.0</v>
      </c>
      <c r="C17" s="8">
        <v>2590.0</v>
      </c>
      <c r="D17" s="8">
        <v>2670.0</v>
      </c>
      <c r="E17" s="8">
        <v>2540.0</v>
      </c>
      <c r="F17" s="8" t="s">
        <v>152</v>
      </c>
      <c r="G17" s="8" t="s">
        <v>153</v>
      </c>
      <c r="H17" s="8"/>
      <c r="I17" s="12">
        <f t="shared" si="1"/>
        <v>0.01930501931</v>
      </c>
      <c r="J17" s="12">
        <f t="shared" si="2"/>
        <v>0.008304162789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10">
        <v>45868.0</v>
      </c>
      <c r="B18" s="8">
        <v>2550.0</v>
      </c>
      <c r="C18" s="8">
        <v>2640.0</v>
      </c>
      <c r="D18" s="8">
        <v>2640.0</v>
      </c>
      <c r="E18" s="8">
        <v>2480.0</v>
      </c>
      <c r="F18" s="8" t="s">
        <v>160</v>
      </c>
      <c r="G18" s="8" t="s">
        <v>162</v>
      </c>
      <c r="H18" s="8"/>
      <c r="I18" s="12">
        <f t="shared" si="1"/>
        <v>-0.03409090909</v>
      </c>
      <c r="J18" s="12">
        <f t="shared" si="2"/>
        <v>-0.01506374644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10">
        <v>45869.0</v>
      </c>
      <c r="B19" s="8">
        <v>2360.0</v>
      </c>
      <c r="C19" s="8">
        <v>2440.0</v>
      </c>
      <c r="D19" s="8">
        <v>2500.0</v>
      </c>
      <c r="E19" s="8">
        <v>2360.0</v>
      </c>
      <c r="F19" s="8" t="s">
        <v>169</v>
      </c>
      <c r="G19" s="8" t="s">
        <v>171</v>
      </c>
      <c r="H19" s="8"/>
      <c r="I19" s="12">
        <f t="shared" si="1"/>
        <v>-0.07450980392</v>
      </c>
      <c r="J19" s="12">
        <f t="shared" si="2"/>
        <v>-0.03362817746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10">
        <v>45870.0</v>
      </c>
      <c r="B20" s="8">
        <v>2450.0</v>
      </c>
      <c r="C20" s="8">
        <v>2360.0</v>
      </c>
      <c r="D20" s="8">
        <v>2450.0</v>
      </c>
      <c r="E20" s="8">
        <v>2330.0</v>
      </c>
      <c r="F20" s="8" t="s">
        <v>176</v>
      </c>
      <c r="G20" s="8" t="s">
        <v>177</v>
      </c>
      <c r="H20" s="8"/>
      <c r="I20" s="12">
        <f t="shared" si="1"/>
        <v>0.03813559322</v>
      </c>
      <c r="J20" s="12">
        <f t="shared" si="2"/>
        <v>0.01625408139</v>
      </c>
      <c r="K20" s="8"/>
      <c r="L20" s="9" t="s">
        <v>138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10">
        <v>45873.0</v>
      </c>
      <c r="B21" s="8">
        <v>2360.0</v>
      </c>
      <c r="C21" s="8">
        <v>2480.0</v>
      </c>
      <c r="D21" s="8">
        <v>2490.0</v>
      </c>
      <c r="E21" s="8">
        <v>2340.0</v>
      </c>
      <c r="F21" s="8" t="s">
        <v>187</v>
      </c>
      <c r="G21" s="8" t="s">
        <v>188</v>
      </c>
      <c r="H21" s="8"/>
      <c r="I21" s="12">
        <f t="shared" si="1"/>
        <v>-0.03673469388</v>
      </c>
      <c r="J21" s="12">
        <f t="shared" si="2"/>
        <v>-0.01625408139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10">
        <v>45874.0</v>
      </c>
      <c r="B22" s="8">
        <v>2330.0</v>
      </c>
      <c r="C22" s="8">
        <v>2380.0</v>
      </c>
      <c r="D22" s="8">
        <v>2410.0</v>
      </c>
      <c r="E22" s="8">
        <v>2320.0</v>
      </c>
      <c r="F22" s="8" t="s">
        <v>198</v>
      </c>
      <c r="G22" s="8" t="s">
        <v>199</v>
      </c>
      <c r="H22" s="8"/>
      <c r="I22" s="12">
        <f t="shared" si="1"/>
        <v>-0.01271186441</v>
      </c>
      <c r="J22" s="12">
        <f t="shared" si="2"/>
        <v>-0.005556081944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10">
        <v>45875.0</v>
      </c>
      <c r="B23" s="8">
        <v>2400.0</v>
      </c>
      <c r="C23" s="8">
        <v>2340.0</v>
      </c>
      <c r="D23" s="8">
        <v>2410.0</v>
      </c>
      <c r="E23" s="8">
        <v>2340.0</v>
      </c>
      <c r="F23" s="8" t="s">
        <v>209</v>
      </c>
      <c r="G23" s="8" t="s">
        <v>211</v>
      </c>
      <c r="H23" s="8"/>
      <c r="I23" s="12">
        <f t="shared" si="1"/>
        <v>0.03004291845</v>
      </c>
      <c r="J23" s="12">
        <f t="shared" si="2"/>
        <v>0.01285532069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10">
        <v>45876.0</v>
      </c>
      <c r="B24" s="8">
        <v>2490.0</v>
      </c>
      <c r="C24" s="8">
        <v>2440.0</v>
      </c>
      <c r="D24" s="8">
        <v>2540.0</v>
      </c>
      <c r="E24" s="8">
        <v>2420.0</v>
      </c>
      <c r="F24" s="8" t="s">
        <v>220</v>
      </c>
      <c r="G24" s="8" t="s">
        <v>221</v>
      </c>
      <c r="H24" s="8"/>
      <c r="I24" s="12">
        <f t="shared" si="1"/>
        <v>0.0375</v>
      </c>
      <c r="J24" s="12">
        <f t="shared" si="2"/>
        <v>0.01598810538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10">
        <v>45877.0</v>
      </c>
      <c r="B25" s="8">
        <v>2470.0</v>
      </c>
      <c r="C25" s="8">
        <v>2500.0</v>
      </c>
      <c r="D25" s="8">
        <v>2510.0</v>
      </c>
      <c r="E25" s="8">
        <v>2420.0</v>
      </c>
      <c r="F25" s="8" t="s">
        <v>226</v>
      </c>
      <c r="G25" s="8" t="s">
        <v>228</v>
      </c>
      <c r="H25" s="8"/>
      <c r="I25" s="12">
        <f t="shared" si="1"/>
        <v>-0.008032128514</v>
      </c>
      <c r="J25" s="12">
        <f t="shared" si="2"/>
        <v>-0.003502393836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10">
        <v>45880.0</v>
      </c>
      <c r="B26" s="8">
        <v>2390.0</v>
      </c>
      <c r="C26" s="8">
        <v>2460.0</v>
      </c>
      <c r="D26" s="8">
        <v>2500.0</v>
      </c>
      <c r="E26" s="8">
        <v>2370.0</v>
      </c>
      <c r="F26" s="8" t="s">
        <v>237</v>
      </c>
      <c r="G26" s="8" t="s">
        <v>240</v>
      </c>
      <c r="H26" s="8"/>
      <c r="I26" s="12">
        <f t="shared" si="1"/>
        <v>-0.03238866397</v>
      </c>
      <c r="J26" s="12">
        <f t="shared" si="2"/>
        <v>-0.01429905231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10">
        <v>45881.0</v>
      </c>
      <c r="B27" s="8">
        <v>2280.0</v>
      </c>
      <c r="C27" s="8">
        <v>2400.0</v>
      </c>
      <c r="D27" s="8">
        <v>2440.0</v>
      </c>
      <c r="E27" s="8">
        <v>2250.0</v>
      </c>
      <c r="F27" s="8" t="s">
        <v>247</v>
      </c>
      <c r="G27" s="8" t="s">
        <v>248</v>
      </c>
      <c r="H27" s="8"/>
      <c r="I27" s="12">
        <f t="shared" si="1"/>
        <v>-0.0460251046</v>
      </c>
      <c r="J27" s="12">
        <f t="shared" si="2"/>
        <v>-0.02046305395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10">
        <v>45882.0</v>
      </c>
      <c r="B28" s="8">
        <v>2280.0</v>
      </c>
      <c r="C28" s="8">
        <v>2300.0</v>
      </c>
      <c r="D28" s="8">
        <v>2340.0</v>
      </c>
      <c r="E28" s="8">
        <v>2220.0</v>
      </c>
      <c r="F28" s="8" t="s">
        <v>255</v>
      </c>
      <c r="G28" s="8" t="s">
        <v>31</v>
      </c>
      <c r="H28" s="8"/>
      <c r="I28" s="12">
        <f t="shared" si="1"/>
        <v>0</v>
      </c>
      <c r="J28" s="12">
        <f t="shared" si="2"/>
        <v>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10">
        <v>45883.0</v>
      </c>
      <c r="B29" s="8">
        <v>2270.0</v>
      </c>
      <c r="C29" s="8">
        <v>2250.0</v>
      </c>
      <c r="D29" s="8">
        <v>2300.0</v>
      </c>
      <c r="E29" s="8">
        <v>2230.0</v>
      </c>
      <c r="F29" s="8" t="s">
        <v>262</v>
      </c>
      <c r="G29" s="8" t="s">
        <v>263</v>
      </c>
      <c r="H29" s="8"/>
      <c r="I29" s="12">
        <f t="shared" si="1"/>
        <v>-0.004385964912</v>
      </c>
      <c r="J29" s="12">
        <f t="shared" si="2"/>
        <v>-0.001908989807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10">
        <v>45884.0</v>
      </c>
      <c r="B30" s="8">
        <v>2220.0</v>
      </c>
      <c r="C30" s="8">
        <v>2270.0</v>
      </c>
      <c r="D30" s="8">
        <v>2280.0</v>
      </c>
      <c r="E30" s="8">
        <v>2220.0</v>
      </c>
      <c r="F30" s="8" t="s">
        <v>272</v>
      </c>
      <c r="G30" s="8" t="s">
        <v>273</v>
      </c>
      <c r="H30" s="8"/>
      <c r="I30" s="12">
        <f t="shared" si="1"/>
        <v>-0.02202643172</v>
      </c>
      <c r="J30" s="12">
        <f t="shared" si="2"/>
        <v>-0.009672882742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10">
        <v>45888.0</v>
      </c>
      <c r="B31" s="8">
        <v>2310.0</v>
      </c>
      <c r="C31" s="8">
        <v>2220.0</v>
      </c>
      <c r="D31" s="8">
        <v>2330.0</v>
      </c>
      <c r="E31" s="8">
        <v>2220.0</v>
      </c>
      <c r="F31" s="8" t="s">
        <v>280</v>
      </c>
      <c r="G31" s="8" t="s">
        <v>281</v>
      </c>
      <c r="H31" s="8"/>
      <c r="I31" s="12">
        <f t="shared" si="1"/>
        <v>0.04054054054</v>
      </c>
      <c r="J31" s="12">
        <f t="shared" si="2"/>
        <v>0.01725900544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10">
        <v>45889.0</v>
      </c>
      <c r="B32" s="8">
        <v>2320.0</v>
      </c>
      <c r="C32" s="8">
        <v>2290.0</v>
      </c>
      <c r="D32" s="8">
        <v>2350.0</v>
      </c>
      <c r="E32" s="8">
        <v>2280.0</v>
      </c>
      <c r="F32" s="8" t="s">
        <v>287</v>
      </c>
      <c r="G32" s="8" t="s">
        <v>289</v>
      </c>
      <c r="H32" s="8"/>
      <c r="I32" s="12">
        <f t="shared" si="1"/>
        <v>0.004329004329</v>
      </c>
      <c r="J32" s="12">
        <f t="shared" si="2"/>
        <v>0.001876004999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10">
        <v>45890.0</v>
      </c>
      <c r="B33" s="8">
        <v>2280.0</v>
      </c>
      <c r="C33" s="8">
        <v>2320.0</v>
      </c>
      <c r="D33" s="8">
        <v>2340.0</v>
      </c>
      <c r="E33" s="8">
        <v>2250.0</v>
      </c>
      <c r="F33" s="8" t="s">
        <v>296</v>
      </c>
      <c r="G33" s="8" t="s">
        <v>297</v>
      </c>
      <c r="H33" s="8"/>
      <c r="I33" s="12">
        <f t="shared" si="1"/>
        <v>-0.01724137931</v>
      </c>
      <c r="J33" s="12">
        <f t="shared" si="2"/>
        <v>-0.00755313789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10">
        <v>45891.0</v>
      </c>
      <c r="B34" s="8">
        <v>2280.0</v>
      </c>
      <c r="C34" s="8">
        <v>2280.0</v>
      </c>
      <c r="D34" s="8">
        <v>2320.0</v>
      </c>
      <c r="E34" s="8">
        <v>2260.0</v>
      </c>
      <c r="F34" s="8" t="s">
        <v>311</v>
      </c>
      <c r="G34" s="8" t="s">
        <v>31</v>
      </c>
      <c r="H34" s="8"/>
      <c r="I34" s="12">
        <f t="shared" si="1"/>
        <v>0</v>
      </c>
      <c r="J34" s="12">
        <f t="shared" si="2"/>
        <v>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0">
        <v>45894.0</v>
      </c>
      <c r="B35" s="8">
        <v>2260.0</v>
      </c>
      <c r="C35" s="8">
        <v>2300.0</v>
      </c>
      <c r="D35" s="8">
        <v>2320.0</v>
      </c>
      <c r="E35" s="8">
        <v>2250.0</v>
      </c>
      <c r="F35" s="8" t="s">
        <v>314</v>
      </c>
      <c r="G35" s="8" t="s">
        <v>315</v>
      </c>
      <c r="H35" s="8"/>
      <c r="I35" s="12">
        <f t="shared" si="1"/>
        <v>-0.008771929825</v>
      </c>
      <c r="J35" s="12">
        <f t="shared" si="2"/>
        <v>-0.003826407853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0">
        <v>45895.0</v>
      </c>
      <c r="B36" s="8">
        <v>2230.0</v>
      </c>
      <c r="C36" s="8">
        <v>2260.0</v>
      </c>
      <c r="D36" s="8">
        <v>2290.0</v>
      </c>
      <c r="E36" s="8">
        <v>2230.0</v>
      </c>
      <c r="F36" s="8" t="s">
        <v>320</v>
      </c>
      <c r="G36" s="8" t="s">
        <v>65</v>
      </c>
      <c r="H36" s="8"/>
      <c r="I36" s="12">
        <f t="shared" si="1"/>
        <v>-0.01327433628</v>
      </c>
      <c r="J36" s="12">
        <f t="shared" si="2"/>
        <v>-0.005803576099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0">
        <v>45896.0</v>
      </c>
      <c r="B37" s="8">
        <v>2390.0</v>
      </c>
      <c r="C37" s="8">
        <v>2270.0</v>
      </c>
      <c r="D37" s="8">
        <v>2410.0</v>
      </c>
      <c r="E37" s="8">
        <v>2240.0</v>
      </c>
      <c r="F37" s="8" t="s">
        <v>327</v>
      </c>
      <c r="G37" s="8" t="s">
        <v>329</v>
      </c>
      <c r="H37" s="8"/>
      <c r="I37" s="12">
        <f t="shared" si="1"/>
        <v>0.07174887892</v>
      </c>
      <c r="J37" s="12">
        <f t="shared" si="2"/>
        <v>0.0300930379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0">
        <v>45897.0</v>
      </c>
      <c r="B38" s="8">
        <v>2510.0</v>
      </c>
      <c r="C38" s="8">
        <v>2450.0</v>
      </c>
      <c r="D38" s="8">
        <v>2540.0</v>
      </c>
      <c r="E38" s="8">
        <v>2450.0</v>
      </c>
      <c r="F38" s="8" t="s">
        <v>337</v>
      </c>
      <c r="G38" s="8" t="s">
        <v>338</v>
      </c>
      <c r="H38" s="8"/>
      <c r="I38" s="12">
        <f t="shared" si="1"/>
        <v>0.05020920502</v>
      </c>
      <c r="J38" s="12">
        <f t="shared" si="2"/>
        <v>0.02127582053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10">
        <v>45898.0</v>
      </c>
      <c r="B39" s="8">
        <v>2470.0</v>
      </c>
      <c r="C39" s="8">
        <v>2450.0</v>
      </c>
      <c r="D39" s="8">
        <v>2560.0</v>
      </c>
      <c r="E39" s="8">
        <v>2360.0</v>
      </c>
      <c r="F39" s="8" t="s">
        <v>345</v>
      </c>
      <c r="G39" s="8" t="s">
        <v>346</v>
      </c>
      <c r="H39" s="8"/>
      <c r="I39" s="12">
        <f t="shared" si="1"/>
        <v>-0.01593625498</v>
      </c>
      <c r="J39" s="12">
        <f t="shared" si="2"/>
        <v>-0.006976768221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10">
        <v>45901.0</v>
      </c>
      <c r="B40" s="8">
        <v>2490.0</v>
      </c>
      <c r="C40" s="8">
        <v>2390.0</v>
      </c>
      <c r="D40" s="8">
        <v>2560.0</v>
      </c>
      <c r="E40" s="8">
        <v>2330.0</v>
      </c>
      <c r="F40" s="8" t="s">
        <v>356</v>
      </c>
      <c r="G40" s="8" t="s">
        <v>14</v>
      </c>
      <c r="H40" s="8"/>
      <c r="I40" s="12">
        <f t="shared" si="1"/>
        <v>0.008097165992</v>
      </c>
      <c r="J40" s="12">
        <f t="shared" si="2"/>
        <v>0.003502393836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10">
        <v>45902.0</v>
      </c>
      <c r="B41" s="8">
        <v>2570.0</v>
      </c>
      <c r="C41" s="8">
        <v>2560.0</v>
      </c>
      <c r="D41" s="8">
        <v>2620.0</v>
      </c>
      <c r="E41" s="8">
        <v>2530.0</v>
      </c>
      <c r="F41" s="8" t="s">
        <v>363</v>
      </c>
      <c r="G41" s="8" t="s">
        <v>364</v>
      </c>
      <c r="H41" s="8"/>
      <c r="I41" s="12">
        <f t="shared" si="1"/>
        <v>0.03212851406</v>
      </c>
      <c r="J41" s="12">
        <f t="shared" si="2"/>
        <v>0.01373377624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10">
        <v>45903.0</v>
      </c>
      <c r="B42" s="8">
        <v>2550.0</v>
      </c>
      <c r="C42" s="8">
        <v>2620.0</v>
      </c>
      <c r="D42" s="8">
        <v>2630.0</v>
      </c>
      <c r="E42" s="8">
        <v>2510.0</v>
      </c>
      <c r="F42" s="8" t="s">
        <v>373</v>
      </c>
      <c r="G42" s="8" t="s">
        <v>374</v>
      </c>
      <c r="H42" s="8"/>
      <c r="I42" s="12">
        <f t="shared" si="1"/>
        <v>-0.007782101167</v>
      </c>
      <c r="J42" s="12">
        <f t="shared" si="2"/>
        <v>-0.003392942897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10">
        <v>45904.0</v>
      </c>
      <c r="B43" s="8">
        <v>2620.0</v>
      </c>
      <c r="C43" s="8">
        <v>2570.0</v>
      </c>
      <c r="D43" s="8">
        <v>2750.0</v>
      </c>
      <c r="E43" s="8">
        <v>2570.0</v>
      </c>
      <c r="F43" s="8" t="s">
        <v>381</v>
      </c>
      <c r="G43" s="8" t="s">
        <v>382</v>
      </c>
      <c r="H43" s="8"/>
      <c r="I43" s="12">
        <f t="shared" si="1"/>
        <v>0.02745098039</v>
      </c>
      <c r="J43" s="12">
        <f t="shared" si="2"/>
        <v>0.01176111089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10">
        <v>45908.0</v>
      </c>
      <c r="B44" s="8">
        <v>2640.0</v>
      </c>
      <c r="C44" s="8">
        <v>2700.0</v>
      </c>
      <c r="D44" s="8">
        <v>2740.0</v>
      </c>
      <c r="E44" s="8">
        <v>2620.0</v>
      </c>
      <c r="F44" s="8" t="s">
        <v>386</v>
      </c>
      <c r="G44" s="8" t="s">
        <v>388</v>
      </c>
      <c r="H44" s="8"/>
      <c r="I44" s="12">
        <f t="shared" si="1"/>
        <v>0.007633587786</v>
      </c>
      <c r="J44" s="12">
        <f t="shared" si="2"/>
        <v>0.00330263555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10">
        <v>45909.0</v>
      </c>
      <c r="B45" s="8">
        <v>2700.0</v>
      </c>
      <c r="C45" s="8">
        <v>2680.0</v>
      </c>
      <c r="D45" s="8">
        <v>2820.0</v>
      </c>
      <c r="E45" s="8">
        <v>2620.0</v>
      </c>
      <c r="F45" s="8" t="s">
        <v>393</v>
      </c>
      <c r="G45" s="8" t="s">
        <v>147</v>
      </c>
      <c r="H45" s="8"/>
      <c r="I45" s="12">
        <f t="shared" si="1"/>
        <v>0.02272727273</v>
      </c>
      <c r="J45" s="12">
        <f t="shared" si="2"/>
        <v>0.009759837289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10">
        <v>45910.0</v>
      </c>
      <c r="B46" s="8">
        <v>2600.0</v>
      </c>
      <c r="C46" s="8">
        <v>2700.0</v>
      </c>
      <c r="D46" s="8">
        <v>2710.0</v>
      </c>
      <c r="E46" s="8">
        <v>2560.0</v>
      </c>
      <c r="F46" s="8" t="s">
        <v>399</v>
      </c>
      <c r="G46" s="8" t="s">
        <v>401</v>
      </c>
      <c r="H46" s="8"/>
      <c r="I46" s="12">
        <f t="shared" si="1"/>
        <v>-0.03703703704</v>
      </c>
      <c r="J46" s="12">
        <f t="shared" si="2"/>
        <v>-0.01639041619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10">
        <v>45911.0</v>
      </c>
      <c r="B47" s="8">
        <v>2500.0</v>
      </c>
      <c r="C47" s="8">
        <v>2620.0</v>
      </c>
      <c r="D47" s="8">
        <v>2620.0</v>
      </c>
      <c r="E47" s="8">
        <v>2470.0</v>
      </c>
      <c r="F47" s="8" t="s">
        <v>404</v>
      </c>
      <c r="G47" s="8" t="s">
        <v>405</v>
      </c>
      <c r="H47" s="8"/>
      <c r="I47" s="12">
        <f t="shared" si="1"/>
        <v>-0.03846153846</v>
      </c>
      <c r="J47" s="12">
        <f t="shared" si="2"/>
        <v>-0.0170333393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10">
        <v>45912.0</v>
      </c>
      <c r="B48" s="8">
        <v>2530.0</v>
      </c>
      <c r="C48" s="8">
        <v>2550.0</v>
      </c>
      <c r="D48" s="8">
        <v>2560.0</v>
      </c>
      <c r="E48" s="8">
        <v>2480.0</v>
      </c>
      <c r="F48" s="8" t="s">
        <v>410</v>
      </c>
      <c r="G48" s="8" t="s">
        <v>411</v>
      </c>
      <c r="H48" s="8"/>
      <c r="I48" s="12">
        <f t="shared" si="1"/>
        <v>0.012</v>
      </c>
      <c r="J48" s="12">
        <f t="shared" si="2"/>
        <v>0.005180512504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10">
        <v>45915.0</v>
      </c>
      <c r="B49" s="8">
        <v>2520.0</v>
      </c>
      <c r="C49" s="8">
        <v>2530.0</v>
      </c>
      <c r="D49" s="8">
        <v>2540.0</v>
      </c>
      <c r="E49" s="8">
        <v>2490.0</v>
      </c>
      <c r="F49" s="8" t="s">
        <v>415</v>
      </c>
      <c r="G49" s="8" t="s">
        <v>33</v>
      </c>
      <c r="H49" s="8"/>
      <c r="I49" s="12">
        <f t="shared" si="1"/>
        <v>-0.00395256917</v>
      </c>
      <c r="J49" s="12">
        <f t="shared" si="2"/>
        <v>-0.001719980394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10">
        <v>45916.0</v>
      </c>
      <c r="B50" s="8">
        <v>2540.0</v>
      </c>
      <c r="C50" s="8">
        <v>2550.0</v>
      </c>
      <c r="D50" s="8">
        <v>2560.0</v>
      </c>
      <c r="E50" s="8">
        <v>2470.0</v>
      </c>
      <c r="F50" s="8" t="s">
        <v>422</v>
      </c>
      <c r="G50" s="8" t="s">
        <v>101</v>
      </c>
      <c r="H50" s="8"/>
      <c r="I50" s="12">
        <f t="shared" si="1"/>
        <v>0.007936507937</v>
      </c>
      <c r="J50" s="12">
        <f t="shared" si="2"/>
        <v>0.003433175838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10">
        <v>45917.0</v>
      </c>
      <c r="B51" s="8">
        <v>2490.0</v>
      </c>
      <c r="C51" s="8">
        <v>2550.0</v>
      </c>
      <c r="D51" s="8">
        <v>2550.0</v>
      </c>
      <c r="E51" s="8">
        <v>2460.0</v>
      </c>
      <c r="F51" s="8" t="s">
        <v>427</v>
      </c>
      <c r="G51" s="8" t="s">
        <v>428</v>
      </c>
      <c r="H51" s="8"/>
      <c r="I51" s="12">
        <f t="shared" si="1"/>
        <v>-0.01968503937</v>
      </c>
      <c r="J51" s="12">
        <f t="shared" si="2"/>
        <v>-0.008634369524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10">
        <v>45918.0</v>
      </c>
      <c r="B52" s="8">
        <v>2370.0</v>
      </c>
      <c r="C52" s="8">
        <v>2510.0</v>
      </c>
      <c r="D52" s="8">
        <v>2510.0</v>
      </c>
      <c r="E52" s="8">
        <v>2350.0</v>
      </c>
      <c r="F52" s="8" t="s">
        <v>431</v>
      </c>
      <c r="G52" s="8" t="s">
        <v>432</v>
      </c>
      <c r="H52" s="8"/>
      <c r="I52" s="12">
        <f t="shared" si="1"/>
        <v>-0.04819277108</v>
      </c>
      <c r="J52" s="12">
        <f t="shared" si="2"/>
        <v>-0.02145100109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10">
        <v>45919.0</v>
      </c>
      <c r="B53" s="8">
        <v>2380.0</v>
      </c>
      <c r="C53" s="8">
        <v>2360.0</v>
      </c>
      <c r="D53" s="8">
        <v>2470.0</v>
      </c>
      <c r="E53" s="8">
        <v>2360.0</v>
      </c>
      <c r="F53" s="8" t="s">
        <v>437</v>
      </c>
      <c r="G53" s="8" t="s">
        <v>438</v>
      </c>
      <c r="H53" s="8"/>
      <c r="I53" s="12">
        <f t="shared" si="1"/>
        <v>0.004219409283</v>
      </c>
      <c r="J53" s="12">
        <f t="shared" si="2"/>
        <v>0.001828611046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10">
        <v>45922.0</v>
      </c>
      <c r="B54" s="8">
        <v>2520.0</v>
      </c>
      <c r="C54" s="8">
        <v>2440.0</v>
      </c>
      <c r="D54" s="8">
        <v>2530.0</v>
      </c>
      <c r="E54" s="8">
        <v>2430.0</v>
      </c>
      <c r="F54" s="8" t="s">
        <v>442</v>
      </c>
      <c r="G54" s="8" t="s">
        <v>443</v>
      </c>
      <c r="H54" s="8"/>
      <c r="I54" s="12">
        <f t="shared" si="1"/>
        <v>0.05882352941</v>
      </c>
      <c r="J54" s="12">
        <f t="shared" si="2"/>
        <v>0.02482358373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10">
        <v>45923.0</v>
      </c>
      <c r="B55" s="8">
        <v>2450.0</v>
      </c>
      <c r="C55" s="8">
        <v>2560.0</v>
      </c>
      <c r="D55" s="8">
        <v>2580.0</v>
      </c>
      <c r="E55" s="8">
        <v>2430.0</v>
      </c>
      <c r="F55" s="8" t="s">
        <v>445</v>
      </c>
      <c r="G55" s="8" t="s">
        <v>239</v>
      </c>
      <c r="H55" s="8"/>
      <c r="I55" s="12">
        <f t="shared" si="1"/>
        <v>-0.02777777778</v>
      </c>
      <c r="J55" s="12">
        <f t="shared" si="2"/>
        <v>-0.01223445642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10">
        <v>45924.0</v>
      </c>
      <c r="B56" s="8">
        <v>2280.0</v>
      </c>
      <c r="C56" s="8">
        <v>2450.0</v>
      </c>
      <c r="D56" s="8">
        <v>2470.0</v>
      </c>
      <c r="E56" s="8">
        <v>2230.0</v>
      </c>
      <c r="F56" s="8" t="s">
        <v>449</v>
      </c>
      <c r="G56" s="8" t="s">
        <v>450</v>
      </c>
      <c r="H56" s="8"/>
      <c r="I56" s="12">
        <f t="shared" si="1"/>
        <v>-0.0693877551</v>
      </c>
      <c r="J56" s="12">
        <f t="shared" si="2"/>
        <v>-0.03123123736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10">
        <v>45925.0</v>
      </c>
      <c r="B57" s="8">
        <v>2070.0</v>
      </c>
      <c r="C57" s="8">
        <v>2310.0</v>
      </c>
      <c r="D57" s="8">
        <v>2330.0</v>
      </c>
      <c r="E57" s="8">
        <v>2060.0</v>
      </c>
      <c r="F57" s="8" t="s">
        <v>453</v>
      </c>
      <c r="G57" s="8" t="s">
        <v>454</v>
      </c>
      <c r="H57" s="8"/>
      <c r="I57" s="12">
        <f t="shared" si="1"/>
        <v>-0.09210526316</v>
      </c>
      <c r="J57" s="12">
        <f t="shared" si="2"/>
        <v>-0.04196450154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10">
        <v>45926.0</v>
      </c>
      <c r="B58" s="8">
        <v>2220.0</v>
      </c>
      <c r="C58" s="8">
        <v>2060.0</v>
      </c>
      <c r="D58" s="8">
        <v>2240.0</v>
      </c>
      <c r="E58" s="8">
        <v>2009.9999999999998</v>
      </c>
      <c r="F58" s="8" t="s">
        <v>457</v>
      </c>
      <c r="G58" s="8" t="s">
        <v>458</v>
      </c>
      <c r="H58" s="8"/>
      <c r="I58" s="12">
        <f t="shared" si="1"/>
        <v>0.07246376812</v>
      </c>
      <c r="J58" s="12">
        <f t="shared" si="2"/>
        <v>0.03038262899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10">
        <v>45929.0</v>
      </c>
      <c r="B59" s="8">
        <v>2200.0</v>
      </c>
      <c r="C59" s="8">
        <v>2250.0</v>
      </c>
      <c r="D59" s="8">
        <v>2300.0</v>
      </c>
      <c r="E59" s="8">
        <v>2150.0</v>
      </c>
      <c r="F59" s="8" t="s">
        <v>461</v>
      </c>
      <c r="G59" s="8" t="s">
        <v>462</v>
      </c>
      <c r="H59" s="8"/>
      <c r="I59" s="12">
        <f t="shared" si="1"/>
        <v>-0.009009009009</v>
      </c>
      <c r="J59" s="12">
        <f t="shared" si="2"/>
        <v>-0.003930293628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10">
        <v>45930.0</v>
      </c>
      <c r="B60" s="8">
        <v>2110.0</v>
      </c>
      <c r="C60" s="8">
        <v>2230.0</v>
      </c>
      <c r="D60" s="8">
        <v>2240.0</v>
      </c>
      <c r="E60" s="8">
        <v>2110.0</v>
      </c>
      <c r="F60" s="8" t="s">
        <v>465</v>
      </c>
      <c r="G60" s="8" t="s">
        <v>466</v>
      </c>
      <c r="H60" s="8"/>
      <c r="I60" s="12">
        <f t="shared" si="1"/>
        <v>-0.04090909091</v>
      </c>
      <c r="J60" s="12">
        <f t="shared" si="2"/>
        <v>-0.01814022552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10">
        <v>45931.0</v>
      </c>
      <c r="B61" s="8">
        <v>2060.0</v>
      </c>
      <c r="C61" s="8">
        <v>2110.0</v>
      </c>
      <c r="D61" s="8">
        <v>2170.0</v>
      </c>
      <c r="E61" s="8">
        <v>2050.0</v>
      </c>
      <c r="F61" s="8" t="s">
        <v>469</v>
      </c>
      <c r="G61" s="8" t="s">
        <v>470</v>
      </c>
      <c r="H61" s="8"/>
      <c r="I61" s="12">
        <f t="shared" si="1"/>
        <v>-0.02369668246</v>
      </c>
      <c r="J61" s="12">
        <f t="shared" si="2"/>
        <v>-0.01041523493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10">
        <v>45932.0</v>
      </c>
      <c r="B62" s="8">
        <v>2120.0</v>
      </c>
      <c r="C62" s="8">
        <v>2060.0</v>
      </c>
      <c r="D62" s="8">
        <v>2160.0</v>
      </c>
      <c r="E62" s="8">
        <v>2050.0</v>
      </c>
      <c r="F62" s="8" t="s">
        <v>472</v>
      </c>
      <c r="G62" s="8" t="s">
        <v>473</v>
      </c>
      <c r="H62" s="8"/>
      <c r="I62" s="12">
        <f t="shared" si="1"/>
        <v>0.02912621359</v>
      </c>
      <c r="J62" s="12">
        <f t="shared" si="2"/>
        <v>0.01246864056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10">
        <v>45933.0</v>
      </c>
      <c r="B63" s="8">
        <v>2120.0</v>
      </c>
      <c r="C63" s="8">
        <v>2130.0</v>
      </c>
      <c r="D63" s="8">
        <v>2140.0</v>
      </c>
      <c r="E63" s="8">
        <v>2100.0</v>
      </c>
      <c r="F63" s="8" t="s">
        <v>476</v>
      </c>
      <c r="G63" s="8" t="s">
        <v>31</v>
      </c>
      <c r="H63" s="8"/>
      <c r="I63" s="12">
        <f t="shared" si="1"/>
        <v>0</v>
      </c>
      <c r="J63" s="12">
        <f t="shared" si="2"/>
        <v>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10">
        <v>45936.0</v>
      </c>
      <c r="B64" s="8">
        <v>2130.0</v>
      </c>
      <c r="C64" s="8">
        <v>2190.0</v>
      </c>
      <c r="D64" s="8">
        <v>2200.0</v>
      </c>
      <c r="E64" s="8">
        <v>2100.0</v>
      </c>
      <c r="F64" s="8" t="s">
        <v>479</v>
      </c>
      <c r="G64" s="8" t="s">
        <v>480</v>
      </c>
      <c r="H64" s="8"/>
      <c r="I64" s="12">
        <f t="shared" si="1"/>
        <v>0.004716981132</v>
      </c>
      <c r="J64" s="12">
        <f t="shared" si="2"/>
        <v>0.00204374251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10">
        <v>45937.0</v>
      </c>
      <c r="B65" s="8">
        <v>2240.0</v>
      </c>
      <c r="C65" s="8">
        <v>2150.0</v>
      </c>
      <c r="D65" s="8">
        <v>2260.0</v>
      </c>
      <c r="E65" s="8">
        <v>2130.0</v>
      </c>
      <c r="F65" s="8" t="s">
        <v>481</v>
      </c>
      <c r="G65" s="8" t="s">
        <v>482</v>
      </c>
      <c r="H65" s="8"/>
      <c r="I65" s="12">
        <f t="shared" si="1"/>
        <v>0.05164319249</v>
      </c>
      <c r="J65" s="12">
        <f t="shared" si="2"/>
        <v>0.0218684149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10">
        <v>45938.0</v>
      </c>
      <c r="B66" s="8">
        <v>2280.0</v>
      </c>
      <c r="C66" s="8">
        <v>2250.0</v>
      </c>
      <c r="D66" s="8">
        <v>2280.0</v>
      </c>
      <c r="E66" s="8">
        <v>2160.0</v>
      </c>
      <c r="F66" s="8" t="s">
        <v>483</v>
      </c>
      <c r="G66" s="8" t="s">
        <v>464</v>
      </c>
      <c r="H66" s="8"/>
      <c r="I66" s="12">
        <f t="shared" si="1"/>
        <v>0.01785714286</v>
      </c>
      <c r="J66" s="12">
        <f t="shared" si="2"/>
        <v>0.007686828666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1.0527777777777778" footer="0.0" header="0.0" left="0.7875" right="0.7875" top="1.0527777777777778"/>
  <pageSetup paperSize="9"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5.29"/>
    <col customWidth="1" min="11" max="11" width="11.57"/>
    <col customWidth="1" min="12" max="12" width="26.57"/>
    <col customWidth="1" min="13" max="26" width="11.57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5" t="s">
        <v>7</v>
      </c>
      <c r="J1" s="5" t="s">
        <v>8</v>
      </c>
      <c r="K1" s="6"/>
      <c r="L1" s="9" t="s">
        <v>9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75" customHeight="1">
      <c r="A2" s="10">
        <v>45846.0</v>
      </c>
      <c r="B2" s="8">
        <v>1240.0</v>
      </c>
      <c r="C2" s="8">
        <v>1235.0</v>
      </c>
      <c r="D2" s="8">
        <v>1260.0</v>
      </c>
      <c r="E2" s="8">
        <v>1235.0</v>
      </c>
      <c r="F2" s="8" t="s">
        <v>12</v>
      </c>
      <c r="G2" s="8" t="s">
        <v>14</v>
      </c>
      <c r="H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10">
        <v>45847.0</v>
      </c>
      <c r="B3" s="8">
        <v>1260.0</v>
      </c>
      <c r="C3" s="8">
        <v>1260.0</v>
      </c>
      <c r="D3" s="8">
        <v>1265.0</v>
      </c>
      <c r="E3" s="8">
        <v>1250.0</v>
      </c>
      <c r="F3" s="8" t="s">
        <v>24</v>
      </c>
      <c r="G3" s="8" t="s">
        <v>25</v>
      </c>
      <c r="H3" s="8"/>
      <c r="I3" s="12">
        <f t="shared" ref="I3:I66" si="1">IFERROR((B3/B2)-1,"")</f>
        <v>0.01612903226</v>
      </c>
      <c r="J3" s="12">
        <f t="shared" ref="J3:J66" si="2">IFERROR(LOG(B3)-LOG(B2),"")</f>
        <v>0.006948859955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10">
        <v>45848.0</v>
      </c>
      <c r="B4" s="8">
        <v>1255.0</v>
      </c>
      <c r="C4" s="8">
        <v>1260.0</v>
      </c>
      <c r="D4" s="8">
        <v>1275.0</v>
      </c>
      <c r="E4" s="8">
        <v>1250.0</v>
      </c>
      <c r="F4" s="8" t="s">
        <v>32</v>
      </c>
      <c r="G4" s="8" t="s">
        <v>33</v>
      </c>
      <c r="H4" s="8"/>
      <c r="I4" s="12">
        <f t="shared" si="1"/>
        <v>-0.003968253968</v>
      </c>
      <c r="J4" s="12">
        <f t="shared" si="2"/>
        <v>-0.001726819301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10">
        <v>45849.0</v>
      </c>
      <c r="B5" s="8">
        <v>1260.0</v>
      </c>
      <c r="C5" s="8">
        <v>1260.0</v>
      </c>
      <c r="D5" s="8">
        <v>1265.0</v>
      </c>
      <c r="E5" s="8">
        <v>1250.0</v>
      </c>
      <c r="F5" s="8" t="s">
        <v>38</v>
      </c>
      <c r="G5" s="8" t="s">
        <v>39</v>
      </c>
      <c r="H5" s="8"/>
      <c r="I5" s="12">
        <f t="shared" si="1"/>
        <v>0.003984063745</v>
      </c>
      <c r="J5" s="12">
        <f t="shared" si="2"/>
        <v>0.001726819301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10">
        <v>45852.0</v>
      </c>
      <c r="B6" s="8">
        <v>1250.0</v>
      </c>
      <c r="C6" s="8">
        <v>1270.0</v>
      </c>
      <c r="D6" s="8">
        <v>1270.0</v>
      </c>
      <c r="E6" s="8">
        <v>1235.0</v>
      </c>
      <c r="F6" s="8" t="s">
        <v>45</v>
      </c>
      <c r="G6" s="8" t="s">
        <v>47</v>
      </c>
      <c r="H6" s="8"/>
      <c r="I6" s="12">
        <f t="shared" si="1"/>
        <v>-0.007936507937</v>
      </c>
      <c r="J6" s="12">
        <f t="shared" si="2"/>
        <v>-0.00346053211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10">
        <v>45853.0</v>
      </c>
      <c r="B7" s="8">
        <v>1255.0</v>
      </c>
      <c r="C7" s="8">
        <v>1250.0</v>
      </c>
      <c r="D7" s="8">
        <v>1260.0</v>
      </c>
      <c r="E7" s="8">
        <v>1235.0</v>
      </c>
      <c r="F7" s="8" t="s">
        <v>52</v>
      </c>
      <c r="G7" s="8" t="s">
        <v>39</v>
      </c>
      <c r="H7" s="8"/>
      <c r="I7" s="12">
        <f t="shared" si="1"/>
        <v>0.004</v>
      </c>
      <c r="J7" s="12">
        <f t="shared" si="2"/>
        <v>0.001733712809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10">
        <v>45854.0</v>
      </c>
      <c r="B8" s="8">
        <v>1295.0</v>
      </c>
      <c r="C8" s="8">
        <v>1265.0</v>
      </c>
      <c r="D8" s="8">
        <v>1315.0</v>
      </c>
      <c r="E8" s="8">
        <v>1260.0</v>
      </c>
      <c r="F8" s="8" t="s">
        <v>57</v>
      </c>
      <c r="G8" s="8" t="s">
        <v>58</v>
      </c>
      <c r="H8" s="8"/>
      <c r="I8" s="12">
        <f t="shared" si="1"/>
        <v>0.03187250996</v>
      </c>
      <c r="J8" s="12">
        <f t="shared" si="2"/>
        <v>0.0136260426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10">
        <v>45855.0</v>
      </c>
      <c r="B9" s="8">
        <v>1325.0</v>
      </c>
      <c r="C9" s="8">
        <v>1300.0</v>
      </c>
      <c r="D9" s="8">
        <v>1335.0</v>
      </c>
      <c r="E9" s="8">
        <v>1280.0</v>
      </c>
      <c r="F9" s="8" t="s">
        <v>66</v>
      </c>
      <c r="G9" s="8" t="s">
        <v>67</v>
      </c>
      <c r="H9" s="8"/>
      <c r="I9" s="12">
        <f t="shared" si="1"/>
        <v>0.02316602317</v>
      </c>
      <c r="J9" s="12">
        <f t="shared" si="2"/>
        <v>0.009946109856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10">
        <v>45856.0</v>
      </c>
      <c r="B10" s="8">
        <v>1300.0</v>
      </c>
      <c r="C10" s="8">
        <v>1300.0</v>
      </c>
      <c r="D10" s="8">
        <v>1330.0</v>
      </c>
      <c r="E10" s="8">
        <v>1300.0</v>
      </c>
      <c r="F10" s="8" t="s">
        <v>73</v>
      </c>
      <c r="G10" s="8" t="s">
        <v>74</v>
      </c>
      <c r="H10" s="8"/>
      <c r="I10" s="12">
        <f t="shared" si="1"/>
        <v>-0.01886792453</v>
      </c>
      <c r="J10" s="12">
        <f t="shared" si="2"/>
        <v>-0.008272525966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10">
        <v>45859.0</v>
      </c>
      <c r="B11" s="8">
        <v>1285.0</v>
      </c>
      <c r="C11" s="8">
        <v>1305.0</v>
      </c>
      <c r="D11" s="8">
        <v>1310.0</v>
      </c>
      <c r="E11" s="8">
        <v>1275.0</v>
      </c>
      <c r="F11" s="8" t="s">
        <v>83</v>
      </c>
      <c r="G11" s="8" t="s">
        <v>85</v>
      </c>
      <c r="H11" s="8"/>
      <c r="I11" s="12">
        <f t="shared" si="1"/>
        <v>-0.01153846154</v>
      </c>
      <c r="J11" s="12">
        <f t="shared" si="2"/>
        <v>-0.00504022464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10">
        <v>45860.0</v>
      </c>
      <c r="B12" s="8">
        <v>1260.0</v>
      </c>
      <c r="C12" s="8">
        <v>1285.0</v>
      </c>
      <c r="D12" s="8">
        <v>1290.0</v>
      </c>
      <c r="E12" s="8">
        <v>1250.0</v>
      </c>
      <c r="F12" s="8" t="s">
        <v>92</v>
      </c>
      <c r="G12" s="8" t="s">
        <v>93</v>
      </c>
      <c r="H12" s="8"/>
      <c r="I12" s="12">
        <f t="shared" si="1"/>
        <v>-0.01945525292</v>
      </c>
      <c r="J12" s="12">
        <f t="shared" si="2"/>
        <v>-0.00853258255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10">
        <v>45861.0</v>
      </c>
      <c r="B13" s="8">
        <v>1270.0</v>
      </c>
      <c r="C13" s="8">
        <v>1255.0</v>
      </c>
      <c r="D13" s="8">
        <v>1270.0</v>
      </c>
      <c r="E13" s="8">
        <v>1225.0</v>
      </c>
      <c r="F13" s="8" t="s">
        <v>98</v>
      </c>
      <c r="G13" s="8" t="s">
        <v>101</v>
      </c>
      <c r="H13" s="8"/>
      <c r="I13" s="12">
        <f t="shared" si="1"/>
        <v>0.007936507937</v>
      </c>
      <c r="J13" s="12">
        <f t="shared" si="2"/>
        <v>0.003433175838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10">
        <v>45862.0</v>
      </c>
      <c r="B14" s="8">
        <v>1285.0</v>
      </c>
      <c r="C14" s="8">
        <v>1270.0</v>
      </c>
      <c r="D14" s="8">
        <v>1305.0</v>
      </c>
      <c r="E14" s="8">
        <v>1260.0</v>
      </c>
      <c r="F14" s="8" t="s">
        <v>108</v>
      </c>
      <c r="G14" s="8" t="s">
        <v>110</v>
      </c>
      <c r="H14" s="8"/>
      <c r="I14" s="12">
        <f t="shared" si="1"/>
        <v>0.01181102362</v>
      </c>
      <c r="J14" s="12">
        <f t="shared" si="2"/>
        <v>0.005099406711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10">
        <v>45863.0</v>
      </c>
      <c r="B15" s="8">
        <v>1250.0</v>
      </c>
      <c r="C15" s="8">
        <v>1290.0</v>
      </c>
      <c r="D15" s="8">
        <v>1295.0</v>
      </c>
      <c r="E15" s="8">
        <v>1250.0</v>
      </c>
      <c r="F15" s="8" t="s">
        <v>114</v>
      </c>
      <c r="G15" s="8" t="s">
        <v>115</v>
      </c>
      <c r="H15" s="8"/>
      <c r="I15" s="12">
        <f t="shared" si="1"/>
        <v>-0.02723735409</v>
      </c>
      <c r="J15" s="12">
        <f t="shared" si="2"/>
        <v>-0.01199311466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10">
        <v>45866.0</v>
      </c>
      <c r="B16" s="8">
        <v>1270.0</v>
      </c>
      <c r="C16" s="8">
        <v>1270.0</v>
      </c>
      <c r="D16" s="8">
        <v>1270.0</v>
      </c>
      <c r="E16" s="8">
        <v>1250.0</v>
      </c>
      <c r="F16" s="8" t="s">
        <v>124</v>
      </c>
      <c r="G16" s="8" t="s">
        <v>125</v>
      </c>
      <c r="H16" s="8"/>
      <c r="I16" s="12">
        <f t="shared" si="1"/>
        <v>0.016</v>
      </c>
      <c r="J16" s="12">
        <f t="shared" si="2"/>
        <v>0.006893707948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10">
        <v>45867.0</v>
      </c>
      <c r="B17" s="8">
        <v>1320.0</v>
      </c>
      <c r="C17" s="8">
        <v>1290.0</v>
      </c>
      <c r="D17" s="8">
        <v>1330.0</v>
      </c>
      <c r="E17" s="8">
        <v>1270.0</v>
      </c>
      <c r="F17" s="8" t="s">
        <v>131</v>
      </c>
      <c r="G17" s="8" t="s">
        <v>133</v>
      </c>
      <c r="H17" s="8"/>
      <c r="I17" s="12">
        <f t="shared" si="1"/>
        <v>0.03937007874</v>
      </c>
      <c r="J17" s="12">
        <f t="shared" si="2"/>
        <v>0.01677021025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10">
        <v>45868.0</v>
      </c>
      <c r="B18" s="8">
        <v>1325.0</v>
      </c>
      <c r="C18" s="8">
        <v>1340.0</v>
      </c>
      <c r="D18" s="8">
        <v>1350.0</v>
      </c>
      <c r="E18" s="8">
        <v>1320.0</v>
      </c>
      <c r="F18" s="8" t="s">
        <v>98</v>
      </c>
      <c r="G18" s="8" t="s">
        <v>140</v>
      </c>
      <c r="H18" s="8"/>
      <c r="I18" s="12">
        <f t="shared" si="1"/>
        <v>0.003787878788</v>
      </c>
      <c r="J18" s="12">
        <f t="shared" si="2"/>
        <v>0.001641947067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10">
        <v>45869.0</v>
      </c>
      <c r="B19" s="8">
        <v>1285.0</v>
      </c>
      <c r="C19" s="8">
        <v>1340.0</v>
      </c>
      <c r="D19" s="8">
        <v>1345.0</v>
      </c>
      <c r="E19" s="8">
        <v>1280.0</v>
      </c>
      <c r="F19" s="8" t="s">
        <v>148</v>
      </c>
      <c r="G19" s="8" t="s">
        <v>149</v>
      </c>
      <c r="H19" s="8"/>
      <c r="I19" s="12">
        <f t="shared" si="1"/>
        <v>-0.03018867925</v>
      </c>
      <c r="J19" s="12">
        <f t="shared" si="2"/>
        <v>-0.01331275061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10">
        <v>45870.0</v>
      </c>
      <c r="B20" s="8">
        <v>1225.0</v>
      </c>
      <c r="C20" s="8">
        <v>1260.0</v>
      </c>
      <c r="D20" s="8">
        <v>1275.0</v>
      </c>
      <c r="E20" s="8">
        <v>1220.0</v>
      </c>
      <c r="F20" s="8" t="s">
        <v>158</v>
      </c>
      <c r="G20" s="8" t="s">
        <v>159</v>
      </c>
      <c r="H20" s="8"/>
      <c r="I20" s="12">
        <f t="shared" si="1"/>
        <v>-0.046692607</v>
      </c>
      <c r="J20" s="12">
        <f t="shared" si="2"/>
        <v>-0.02076703897</v>
      </c>
      <c r="K20" s="8"/>
      <c r="L20" s="9" t="s">
        <v>138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10">
        <v>45873.0</v>
      </c>
      <c r="B21" s="8">
        <v>1205.0</v>
      </c>
      <c r="C21" s="8">
        <v>1225.0</v>
      </c>
      <c r="D21" s="8">
        <v>1225.0</v>
      </c>
      <c r="E21" s="8">
        <v>1170.0</v>
      </c>
      <c r="F21" s="8" t="s">
        <v>168</v>
      </c>
      <c r="G21" s="8" t="s">
        <v>170</v>
      </c>
      <c r="H21" s="8"/>
      <c r="I21" s="12">
        <f t="shared" si="1"/>
        <v>-0.01632653061</v>
      </c>
      <c r="J21" s="12">
        <f t="shared" si="2"/>
        <v>-0.00714904179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10">
        <v>45874.0</v>
      </c>
      <c r="B22" s="8">
        <v>1175.0</v>
      </c>
      <c r="C22" s="8">
        <v>1205.0</v>
      </c>
      <c r="D22" s="8">
        <v>1205.0</v>
      </c>
      <c r="E22" s="8">
        <v>1165.0</v>
      </c>
      <c r="F22" s="8" t="s">
        <v>178</v>
      </c>
      <c r="G22" s="8" t="s">
        <v>179</v>
      </c>
      <c r="H22" s="8"/>
      <c r="I22" s="12">
        <f t="shared" si="1"/>
        <v>-0.02489626556</v>
      </c>
      <c r="J22" s="12">
        <f t="shared" si="2"/>
        <v>-0.0109491803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10">
        <v>45875.0</v>
      </c>
      <c r="B23" s="8">
        <v>1175.0</v>
      </c>
      <c r="C23" s="8">
        <v>1180.0</v>
      </c>
      <c r="D23" s="8">
        <v>1185.0</v>
      </c>
      <c r="E23" s="8">
        <v>1165.0</v>
      </c>
      <c r="F23" s="8" t="s">
        <v>186</v>
      </c>
      <c r="G23" s="8" t="s">
        <v>31</v>
      </c>
      <c r="H23" s="8"/>
      <c r="I23" s="12">
        <f t="shared" si="1"/>
        <v>0</v>
      </c>
      <c r="J23" s="12">
        <f t="shared" si="2"/>
        <v>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10">
        <v>45876.0</v>
      </c>
      <c r="B24" s="8">
        <v>1240.0</v>
      </c>
      <c r="C24" s="8">
        <v>1170.0</v>
      </c>
      <c r="D24" s="8">
        <v>1255.0</v>
      </c>
      <c r="E24" s="8">
        <v>1170.0</v>
      </c>
      <c r="F24" s="8" t="s">
        <v>192</v>
      </c>
      <c r="G24" s="8" t="s">
        <v>194</v>
      </c>
      <c r="H24" s="8"/>
      <c r="I24" s="12">
        <f t="shared" si="1"/>
        <v>0.05531914894</v>
      </c>
      <c r="J24" s="12">
        <f t="shared" si="2"/>
        <v>0.02338381855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10">
        <v>45877.0</v>
      </c>
      <c r="B25" s="8">
        <v>1205.0</v>
      </c>
      <c r="C25" s="8">
        <v>1225.0</v>
      </c>
      <c r="D25" s="8">
        <v>1225.0</v>
      </c>
      <c r="E25" s="8">
        <v>1195.0</v>
      </c>
      <c r="F25" s="8" t="s">
        <v>204</v>
      </c>
      <c r="G25" s="8" t="s">
        <v>205</v>
      </c>
      <c r="H25" s="8"/>
      <c r="I25" s="12">
        <f t="shared" si="1"/>
        <v>-0.02822580645</v>
      </c>
      <c r="J25" s="12">
        <f t="shared" si="2"/>
        <v>-0.01243463825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10">
        <v>45880.0</v>
      </c>
      <c r="B26" s="8">
        <v>1240.0</v>
      </c>
      <c r="C26" s="8">
        <v>1205.0</v>
      </c>
      <c r="D26" s="8">
        <v>1250.0</v>
      </c>
      <c r="E26" s="8">
        <v>1190.0</v>
      </c>
      <c r="F26" s="8" t="s">
        <v>210</v>
      </c>
      <c r="G26" s="8" t="s">
        <v>212</v>
      </c>
      <c r="H26" s="8"/>
      <c r="I26" s="12">
        <f t="shared" si="1"/>
        <v>0.02904564315</v>
      </c>
      <c r="J26" s="12">
        <f t="shared" si="2"/>
        <v>0.01243463825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10">
        <v>45881.0</v>
      </c>
      <c r="B27" s="8">
        <v>1220.0</v>
      </c>
      <c r="C27" s="8">
        <v>1240.0</v>
      </c>
      <c r="D27" s="8">
        <v>1250.0</v>
      </c>
      <c r="E27" s="8">
        <v>1220.0</v>
      </c>
      <c r="F27" s="8" t="s">
        <v>218</v>
      </c>
      <c r="G27" s="8" t="s">
        <v>219</v>
      </c>
      <c r="H27" s="8"/>
      <c r="I27" s="12">
        <f t="shared" si="1"/>
        <v>-0.01612903226</v>
      </c>
      <c r="J27" s="12">
        <f t="shared" si="2"/>
        <v>-0.007061854487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10">
        <v>45882.0</v>
      </c>
      <c r="B28" s="8">
        <v>1260.0</v>
      </c>
      <c r="C28" s="8">
        <v>1220.0</v>
      </c>
      <c r="D28" s="8">
        <v>1270.0</v>
      </c>
      <c r="E28" s="8">
        <v>1220.0</v>
      </c>
      <c r="F28" s="8" t="s">
        <v>227</v>
      </c>
      <c r="G28" s="8" t="s">
        <v>229</v>
      </c>
      <c r="H28" s="8"/>
      <c r="I28" s="12">
        <f t="shared" si="1"/>
        <v>0.03278688525</v>
      </c>
      <c r="J28" s="12">
        <f t="shared" si="2"/>
        <v>0.01401071444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10">
        <v>45883.0</v>
      </c>
      <c r="B29" s="8">
        <v>1225.0</v>
      </c>
      <c r="C29" s="8">
        <v>1270.0</v>
      </c>
      <c r="D29" s="8">
        <v>1275.0</v>
      </c>
      <c r="E29" s="8">
        <v>1225.0</v>
      </c>
      <c r="F29" s="8" t="s">
        <v>236</v>
      </c>
      <c r="G29" s="8" t="s">
        <v>239</v>
      </c>
      <c r="H29" s="8"/>
      <c r="I29" s="12">
        <f t="shared" si="1"/>
        <v>-0.02777777778</v>
      </c>
      <c r="J29" s="12">
        <f t="shared" si="2"/>
        <v>-0.01223445642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10">
        <v>45884.0</v>
      </c>
      <c r="B30" s="8">
        <v>1225.0</v>
      </c>
      <c r="C30" s="8">
        <v>1225.0</v>
      </c>
      <c r="D30" s="8">
        <v>1245.0</v>
      </c>
      <c r="E30" s="8">
        <v>1210.0</v>
      </c>
      <c r="F30" s="8" t="s">
        <v>246</v>
      </c>
      <c r="G30" s="8" t="s">
        <v>31</v>
      </c>
      <c r="H30" s="8"/>
      <c r="I30" s="12">
        <f t="shared" si="1"/>
        <v>0</v>
      </c>
      <c r="J30" s="12">
        <f t="shared" si="2"/>
        <v>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10">
        <v>45888.0</v>
      </c>
      <c r="B31" s="8">
        <v>1225.0</v>
      </c>
      <c r="C31" s="8">
        <v>1225.0</v>
      </c>
      <c r="D31" s="8">
        <v>1235.0</v>
      </c>
      <c r="E31" s="8">
        <v>1205.0</v>
      </c>
      <c r="F31" s="8" t="s">
        <v>252</v>
      </c>
      <c r="G31" s="8" t="s">
        <v>31</v>
      </c>
      <c r="H31" s="8"/>
      <c r="I31" s="12">
        <f t="shared" si="1"/>
        <v>0</v>
      </c>
      <c r="J31" s="12">
        <f t="shared" si="2"/>
        <v>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10">
        <v>45889.0</v>
      </c>
      <c r="B32" s="8">
        <v>1185.0</v>
      </c>
      <c r="C32" s="8">
        <v>1205.0</v>
      </c>
      <c r="D32" s="8">
        <v>1220.0</v>
      </c>
      <c r="E32" s="8">
        <v>1185.0</v>
      </c>
      <c r="F32" s="8" t="s">
        <v>258</v>
      </c>
      <c r="G32" s="8" t="s">
        <v>259</v>
      </c>
      <c r="H32" s="8"/>
      <c r="I32" s="12">
        <f t="shared" si="1"/>
        <v>-0.03265306122</v>
      </c>
      <c r="J32" s="12">
        <f t="shared" si="2"/>
        <v>-0.01441773835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10">
        <v>45890.0</v>
      </c>
      <c r="B33" s="8">
        <v>1200.0</v>
      </c>
      <c r="C33" s="8">
        <v>1190.0</v>
      </c>
      <c r="D33" s="8">
        <v>1235.0</v>
      </c>
      <c r="E33" s="8">
        <v>1190.0</v>
      </c>
      <c r="F33" s="8" t="s">
        <v>268</v>
      </c>
      <c r="G33" s="8" t="s">
        <v>269</v>
      </c>
      <c r="H33" s="8"/>
      <c r="I33" s="12">
        <f t="shared" si="1"/>
        <v>0.01265822785</v>
      </c>
      <c r="J33" s="12">
        <f t="shared" si="2"/>
        <v>0.005462895702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10">
        <v>45891.0</v>
      </c>
      <c r="B34" s="8">
        <v>1240.0</v>
      </c>
      <c r="C34" s="8">
        <v>1205.0</v>
      </c>
      <c r="D34" s="8">
        <v>1245.0</v>
      </c>
      <c r="E34" s="8">
        <v>1205.0</v>
      </c>
      <c r="F34" s="8" t="s">
        <v>276</v>
      </c>
      <c r="G34" s="8" t="s">
        <v>277</v>
      </c>
      <c r="H34" s="8"/>
      <c r="I34" s="12">
        <f t="shared" si="1"/>
        <v>0.03333333333</v>
      </c>
      <c r="J34" s="12">
        <f t="shared" si="2"/>
        <v>0.01424043911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0">
        <v>45894.0</v>
      </c>
      <c r="B35" s="8">
        <v>1240.0</v>
      </c>
      <c r="C35" s="8">
        <v>1245.0</v>
      </c>
      <c r="D35" s="8">
        <v>1255.0</v>
      </c>
      <c r="E35" s="8">
        <v>1220.0</v>
      </c>
      <c r="F35" s="8" t="s">
        <v>284</v>
      </c>
      <c r="G35" s="8" t="s">
        <v>31</v>
      </c>
      <c r="H35" s="8"/>
      <c r="I35" s="12">
        <f t="shared" si="1"/>
        <v>0</v>
      </c>
      <c r="J35" s="12">
        <f t="shared" si="2"/>
        <v>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0">
        <v>45895.0</v>
      </c>
      <c r="B36" s="8">
        <v>1225.0</v>
      </c>
      <c r="C36" s="8">
        <v>1250.0</v>
      </c>
      <c r="D36" s="8">
        <v>1255.0</v>
      </c>
      <c r="E36" s="8">
        <v>1225.0</v>
      </c>
      <c r="F36" s="8" t="s">
        <v>292</v>
      </c>
      <c r="G36" s="8" t="s">
        <v>293</v>
      </c>
      <c r="H36" s="8"/>
      <c r="I36" s="12">
        <f t="shared" si="1"/>
        <v>-0.01209677419</v>
      </c>
      <c r="J36" s="12">
        <f t="shared" si="2"/>
        <v>-0.005285596462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0">
        <v>45896.0</v>
      </c>
      <c r="B37" s="8">
        <v>1210.0</v>
      </c>
      <c r="C37" s="8">
        <v>1225.0</v>
      </c>
      <c r="D37" s="8">
        <v>1235.0</v>
      </c>
      <c r="E37" s="8">
        <v>1205.0</v>
      </c>
      <c r="F37" s="8" t="s">
        <v>301</v>
      </c>
      <c r="G37" s="8" t="s">
        <v>302</v>
      </c>
      <c r="H37" s="8"/>
      <c r="I37" s="12">
        <f t="shared" si="1"/>
        <v>-0.01224489796</v>
      </c>
      <c r="J37" s="12">
        <f t="shared" si="2"/>
        <v>-0.005350718384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0">
        <v>45897.0</v>
      </c>
      <c r="B38" s="8">
        <v>1195.0</v>
      </c>
      <c r="C38" s="8">
        <v>1215.0</v>
      </c>
      <c r="D38" s="8">
        <v>1220.0</v>
      </c>
      <c r="E38" s="8">
        <v>1190.0</v>
      </c>
      <c r="F38" s="8" t="s">
        <v>307</v>
      </c>
      <c r="G38" s="8" t="s">
        <v>308</v>
      </c>
      <c r="H38" s="8"/>
      <c r="I38" s="12">
        <f t="shared" si="1"/>
        <v>-0.01239669421</v>
      </c>
      <c r="J38" s="12">
        <f t="shared" si="2"/>
        <v>-0.005417465032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10">
        <v>45898.0</v>
      </c>
      <c r="B39" s="8">
        <v>1165.0</v>
      </c>
      <c r="C39" s="8">
        <v>1195.0</v>
      </c>
      <c r="D39" s="8">
        <v>1195.0</v>
      </c>
      <c r="E39" s="8">
        <v>1150.0</v>
      </c>
      <c r="F39" s="8" t="s">
        <v>323</v>
      </c>
      <c r="G39" s="8" t="s">
        <v>324</v>
      </c>
      <c r="H39" s="8"/>
      <c r="I39" s="12">
        <f t="shared" si="1"/>
        <v>-0.02510460251</v>
      </c>
      <c r="J39" s="12">
        <f t="shared" si="2"/>
        <v>-0.01104197992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10">
        <v>45901.0</v>
      </c>
      <c r="B40" s="8">
        <v>1135.0</v>
      </c>
      <c r="C40" s="8">
        <v>1135.0</v>
      </c>
      <c r="D40" s="8">
        <v>1155.0</v>
      </c>
      <c r="E40" s="8">
        <v>1100.0</v>
      </c>
      <c r="F40" s="8" t="s">
        <v>331</v>
      </c>
      <c r="G40" s="8" t="s">
        <v>333</v>
      </c>
      <c r="H40" s="8"/>
      <c r="I40" s="12">
        <f t="shared" si="1"/>
        <v>-0.02575107296</v>
      </c>
      <c r="J40" s="12">
        <f t="shared" si="2"/>
        <v>-0.01133006383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10">
        <v>45902.0</v>
      </c>
      <c r="B41" s="8">
        <v>1225.0</v>
      </c>
      <c r="C41" s="8">
        <v>1135.0</v>
      </c>
      <c r="D41" s="8">
        <v>1240.0</v>
      </c>
      <c r="E41" s="8">
        <v>1135.0</v>
      </c>
      <c r="F41" s="8" t="s">
        <v>343</v>
      </c>
      <c r="G41" s="8" t="s">
        <v>344</v>
      </c>
      <c r="H41" s="8"/>
      <c r="I41" s="12">
        <f t="shared" si="1"/>
        <v>0.07929515419</v>
      </c>
      <c r="J41" s="12">
        <f t="shared" si="2"/>
        <v>0.03314022717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10">
        <v>45903.0</v>
      </c>
      <c r="B42" s="8">
        <v>1250.0</v>
      </c>
      <c r="C42" s="8">
        <v>1235.0</v>
      </c>
      <c r="D42" s="8">
        <v>1255.0</v>
      </c>
      <c r="E42" s="8">
        <v>1225.0</v>
      </c>
      <c r="F42" s="8" t="s">
        <v>353</v>
      </c>
      <c r="G42" s="8" t="s">
        <v>354</v>
      </c>
      <c r="H42" s="8"/>
      <c r="I42" s="12">
        <f t="shared" si="1"/>
        <v>0.02040816327</v>
      </c>
      <c r="J42" s="12">
        <f t="shared" si="2"/>
        <v>0.008773924308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10">
        <v>45904.0</v>
      </c>
      <c r="B43" s="8">
        <v>1250.0</v>
      </c>
      <c r="C43" s="8">
        <v>1250.0</v>
      </c>
      <c r="D43" s="8">
        <v>1265.0</v>
      </c>
      <c r="E43" s="8">
        <v>1225.0</v>
      </c>
      <c r="F43" s="8" t="s">
        <v>362</v>
      </c>
      <c r="G43" s="8" t="s">
        <v>31</v>
      </c>
      <c r="H43" s="8"/>
      <c r="I43" s="12">
        <f t="shared" si="1"/>
        <v>0</v>
      </c>
      <c r="J43" s="12">
        <f t="shared" si="2"/>
        <v>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10">
        <v>45908.0</v>
      </c>
      <c r="B44" s="8">
        <v>1215.0</v>
      </c>
      <c r="C44" s="8">
        <v>1250.0</v>
      </c>
      <c r="D44" s="8">
        <v>1255.0</v>
      </c>
      <c r="E44" s="8">
        <v>1215.0</v>
      </c>
      <c r="F44" s="8" t="s">
        <v>371</v>
      </c>
      <c r="G44" s="8" t="s">
        <v>372</v>
      </c>
      <c r="H44" s="8"/>
      <c r="I44" s="12">
        <f t="shared" si="1"/>
        <v>-0.028</v>
      </c>
      <c r="J44" s="12">
        <f t="shared" si="2"/>
        <v>-0.01233373507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10">
        <v>45909.0</v>
      </c>
      <c r="B45" s="8">
        <v>1230.0</v>
      </c>
      <c r="C45" s="8">
        <v>1215.0</v>
      </c>
      <c r="D45" s="8">
        <v>1235.0</v>
      </c>
      <c r="E45" s="8">
        <v>1190.0</v>
      </c>
      <c r="F45" s="8" t="s">
        <v>378</v>
      </c>
      <c r="G45" s="8" t="s">
        <v>379</v>
      </c>
      <c r="H45" s="8"/>
      <c r="I45" s="12">
        <f t="shared" si="1"/>
        <v>0.01234567901</v>
      </c>
      <c r="J45" s="12">
        <f t="shared" si="2"/>
        <v>0.005328833505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10">
        <v>45910.0</v>
      </c>
      <c r="B46" s="8">
        <v>1230.0</v>
      </c>
      <c r="C46" s="8">
        <v>1240.0</v>
      </c>
      <c r="D46" s="8">
        <v>1250.0</v>
      </c>
      <c r="E46" s="8">
        <v>1215.0</v>
      </c>
      <c r="F46" s="8" t="s">
        <v>385</v>
      </c>
      <c r="G46" s="8" t="s">
        <v>31</v>
      </c>
      <c r="H46" s="8"/>
      <c r="I46" s="12">
        <f t="shared" si="1"/>
        <v>0</v>
      </c>
      <c r="J46" s="12">
        <f t="shared" si="2"/>
        <v>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10">
        <v>45911.0</v>
      </c>
      <c r="B47" s="8">
        <v>1220.0</v>
      </c>
      <c r="C47" s="8">
        <v>1245.0</v>
      </c>
      <c r="D47" s="8">
        <v>1265.0</v>
      </c>
      <c r="E47" s="8">
        <v>1220.0</v>
      </c>
      <c r="F47" s="8" t="s">
        <v>391</v>
      </c>
      <c r="G47" s="8" t="s">
        <v>392</v>
      </c>
      <c r="H47" s="8"/>
      <c r="I47" s="12">
        <f t="shared" si="1"/>
        <v>-0.008130081301</v>
      </c>
      <c r="J47" s="12">
        <f t="shared" si="2"/>
        <v>-0.003545280765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10">
        <v>45912.0</v>
      </c>
      <c r="B48" s="8">
        <v>1230.0</v>
      </c>
      <c r="C48" s="8">
        <v>1235.0</v>
      </c>
      <c r="D48" s="8">
        <v>1240.0</v>
      </c>
      <c r="E48" s="8">
        <v>1210.0</v>
      </c>
      <c r="F48" s="8" t="s">
        <v>398</v>
      </c>
      <c r="G48" s="8" t="s">
        <v>400</v>
      </c>
      <c r="H48" s="8"/>
      <c r="I48" s="12">
        <f t="shared" si="1"/>
        <v>0.008196721311</v>
      </c>
      <c r="J48" s="12">
        <f t="shared" si="2"/>
        <v>0.003545280765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10">
        <v>45915.0</v>
      </c>
      <c r="B49" s="8">
        <v>1245.0</v>
      </c>
      <c r="C49" s="8">
        <v>1235.0</v>
      </c>
      <c r="D49" s="8">
        <v>1255.0</v>
      </c>
      <c r="E49" s="8">
        <v>1225.0</v>
      </c>
      <c r="F49" s="8" t="s">
        <v>406</v>
      </c>
      <c r="G49" s="8" t="s">
        <v>408</v>
      </c>
      <c r="H49" s="8"/>
      <c r="I49" s="12">
        <f t="shared" si="1"/>
        <v>0.01219512195</v>
      </c>
      <c r="J49" s="12">
        <f t="shared" si="2"/>
        <v>0.005264239992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10">
        <v>45916.0</v>
      </c>
      <c r="B50" s="8">
        <v>1300.0</v>
      </c>
      <c r="C50" s="8">
        <v>1255.0</v>
      </c>
      <c r="D50" s="8">
        <v>1310.0</v>
      </c>
      <c r="E50" s="8">
        <v>1250.0</v>
      </c>
      <c r="F50" s="8" t="s">
        <v>413</v>
      </c>
      <c r="G50" s="8" t="s">
        <v>414</v>
      </c>
      <c r="H50" s="8"/>
      <c r="I50" s="12">
        <f t="shared" si="1"/>
        <v>0.04417670683</v>
      </c>
      <c r="J50" s="12">
        <f t="shared" si="2"/>
        <v>0.01877400088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10">
        <v>45917.0</v>
      </c>
      <c r="B51" s="8">
        <v>1320.0</v>
      </c>
      <c r="C51" s="8">
        <v>1310.0</v>
      </c>
      <c r="D51" s="8">
        <v>1320.0</v>
      </c>
      <c r="E51" s="8">
        <v>1280.0</v>
      </c>
      <c r="F51" s="8" t="s">
        <v>418</v>
      </c>
      <c r="G51" s="8" t="s">
        <v>419</v>
      </c>
      <c r="H51" s="8"/>
      <c r="I51" s="12">
        <f t="shared" si="1"/>
        <v>0.01538461538</v>
      </c>
      <c r="J51" s="12">
        <f t="shared" si="2"/>
        <v>0.006630578899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10">
        <v>45918.0</v>
      </c>
      <c r="B52" s="8">
        <v>1285.0</v>
      </c>
      <c r="C52" s="8">
        <v>1320.0</v>
      </c>
      <c r="D52" s="8">
        <v>1330.0</v>
      </c>
      <c r="E52" s="8">
        <v>1280.0</v>
      </c>
      <c r="F52" s="8" t="s">
        <v>423</v>
      </c>
      <c r="G52" s="8" t="s">
        <v>424</v>
      </c>
      <c r="H52" s="8"/>
      <c r="I52" s="12">
        <f t="shared" si="1"/>
        <v>-0.02651515152</v>
      </c>
      <c r="J52" s="12">
        <f t="shared" si="2"/>
        <v>-0.01167080354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10">
        <v>45919.0</v>
      </c>
      <c r="B53" s="8">
        <v>1295.0</v>
      </c>
      <c r="C53" s="8">
        <v>1285.0</v>
      </c>
      <c r="D53" s="8">
        <v>1295.0</v>
      </c>
      <c r="E53" s="8">
        <v>1265.0</v>
      </c>
      <c r="F53" s="8" t="s">
        <v>429</v>
      </c>
      <c r="G53" s="8" t="s">
        <v>43</v>
      </c>
      <c r="H53" s="8"/>
      <c r="I53" s="12">
        <f t="shared" si="1"/>
        <v>0.007782101167</v>
      </c>
      <c r="J53" s="12">
        <f t="shared" si="2"/>
        <v>0.00336664075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10">
        <v>45922.0</v>
      </c>
      <c r="B54" s="8">
        <v>1315.0</v>
      </c>
      <c r="C54" s="8">
        <v>1300.0</v>
      </c>
      <c r="D54" s="8">
        <v>1320.0</v>
      </c>
      <c r="E54" s="8">
        <v>1290.0</v>
      </c>
      <c r="F54" s="8" t="s">
        <v>433</v>
      </c>
      <c r="G54" s="8" t="s">
        <v>419</v>
      </c>
      <c r="H54" s="8"/>
      <c r="I54" s="12">
        <f t="shared" si="1"/>
        <v>0.01544401544</v>
      </c>
      <c r="J54" s="12">
        <f t="shared" si="2"/>
        <v>0.006655984409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10">
        <v>45923.0</v>
      </c>
      <c r="B55" s="8">
        <v>1310.0</v>
      </c>
      <c r="C55" s="8">
        <v>1315.0</v>
      </c>
      <c r="D55" s="8">
        <v>1320.0</v>
      </c>
      <c r="E55" s="8">
        <v>1290.0</v>
      </c>
      <c r="F55" s="8" t="s">
        <v>435</v>
      </c>
      <c r="G55" s="8" t="s">
        <v>436</v>
      </c>
      <c r="H55" s="8"/>
      <c r="I55" s="12">
        <f t="shared" si="1"/>
        <v>-0.003802281369</v>
      </c>
      <c r="J55" s="12">
        <f t="shared" si="2"/>
        <v>-0.00165445717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10">
        <v>45924.0</v>
      </c>
      <c r="B56" s="8">
        <v>1315.0</v>
      </c>
      <c r="C56" s="8">
        <v>1325.0</v>
      </c>
      <c r="D56" s="8">
        <v>1330.0</v>
      </c>
      <c r="E56" s="8">
        <v>1305.0</v>
      </c>
      <c r="F56" s="8" t="s">
        <v>439</v>
      </c>
      <c r="G56" s="8" t="s">
        <v>140</v>
      </c>
      <c r="H56" s="8"/>
      <c r="I56" s="12">
        <f t="shared" si="1"/>
        <v>0.003816793893</v>
      </c>
      <c r="J56" s="12">
        <f t="shared" si="2"/>
        <v>0.00165445717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10">
        <v>45925.0</v>
      </c>
      <c r="B57" s="8">
        <v>1335.0</v>
      </c>
      <c r="C57" s="8">
        <v>1325.0</v>
      </c>
      <c r="D57" s="8">
        <v>1400.0</v>
      </c>
      <c r="E57" s="8">
        <v>1325.0</v>
      </c>
      <c r="F57" s="8" t="s">
        <v>444</v>
      </c>
      <c r="G57" s="8" t="s">
        <v>361</v>
      </c>
      <c r="H57" s="8"/>
      <c r="I57" s="12">
        <f t="shared" si="1"/>
        <v>0.01520912548</v>
      </c>
      <c r="J57" s="12">
        <f t="shared" si="2"/>
        <v>0.006555512875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10">
        <v>45926.0</v>
      </c>
      <c r="B58" s="8">
        <v>1350.0</v>
      </c>
      <c r="C58" s="8">
        <v>1345.0</v>
      </c>
      <c r="D58" s="8">
        <v>1355.0</v>
      </c>
      <c r="E58" s="8">
        <v>1290.0</v>
      </c>
      <c r="F58" s="8" t="s">
        <v>446</v>
      </c>
      <c r="G58" s="8" t="s">
        <v>368</v>
      </c>
      <c r="H58" s="8"/>
      <c r="I58" s="12">
        <f t="shared" si="1"/>
        <v>0.01123595506</v>
      </c>
      <c r="J58" s="12">
        <f t="shared" si="2"/>
        <v>0.004852502794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10">
        <v>45929.0</v>
      </c>
      <c r="B59" s="8">
        <v>1385.0</v>
      </c>
      <c r="C59" s="8">
        <v>1355.0</v>
      </c>
      <c r="D59" s="8">
        <v>1400.0</v>
      </c>
      <c r="E59" s="8">
        <v>1355.0</v>
      </c>
      <c r="F59" s="8" t="s">
        <v>451</v>
      </c>
      <c r="G59" s="8" t="s">
        <v>452</v>
      </c>
      <c r="H59" s="8"/>
      <c r="I59" s="12">
        <f t="shared" si="1"/>
        <v>0.02592592593</v>
      </c>
      <c r="J59" s="12">
        <f t="shared" si="2"/>
        <v>0.01111600491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10">
        <v>45930.0</v>
      </c>
      <c r="B60" s="8">
        <v>1370.0</v>
      </c>
      <c r="C60" s="8">
        <v>1380.0</v>
      </c>
      <c r="D60" s="8">
        <v>1400.0</v>
      </c>
      <c r="E60" s="8">
        <v>1360.0</v>
      </c>
      <c r="F60" s="8" t="s">
        <v>455</v>
      </c>
      <c r="G60" s="8" t="s">
        <v>456</v>
      </c>
      <c r="H60" s="8"/>
      <c r="I60" s="12">
        <f t="shared" si="1"/>
        <v>-0.01083032491</v>
      </c>
      <c r="J60" s="12">
        <f t="shared" si="2"/>
        <v>-0.004729206244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10">
        <v>45931.0</v>
      </c>
      <c r="B61" s="8">
        <v>1395.0</v>
      </c>
      <c r="C61" s="8">
        <v>1360.0</v>
      </c>
      <c r="D61" s="8">
        <v>1415.0</v>
      </c>
      <c r="E61" s="8">
        <v>1360.0</v>
      </c>
      <c r="F61" s="8" t="s">
        <v>459</v>
      </c>
      <c r="G61" s="8" t="s">
        <v>460</v>
      </c>
      <c r="H61" s="8"/>
      <c r="I61" s="12">
        <f t="shared" si="1"/>
        <v>0.01824817518</v>
      </c>
      <c r="J61" s="12">
        <f t="shared" si="2"/>
        <v>0.007853640453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10">
        <v>45932.0</v>
      </c>
      <c r="B62" s="8">
        <v>1420.0</v>
      </c>
      <c r="C62" s="8">
        <v>1400.0</v>
      </c>
      <c r="D62" s="8">
        <v>1420.0</v>
      </c>
      <c r="E62" s="8">
        <v>1385.0</v>
      </c>
      <c r="F62" s="8" t="s">
        <v>463</v>
      </c>
      <c r="G62" s="8" t="s">
        <v>464</v>
      </c>
      <c r="H62" s="8"/>
      <c r="I62" s="12">
        <f t="shared" si="1"/>
        <v>0.01792114695</v>
      </c>
      <c r="J62" s="12">
        <f t="shared" si="2"/>
        <v>0.007714136773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10">
        <v>45933.0</v>
      </c>
      <c r="B63" s="8">
        <v>1515.0</v>
      </c>
      <c r="C63" s="8">
        <v>1415.0</v>
      </c>
      <c r="D63" s="8">
        <v>1590.0</v>
      </c>
      <c r="E63" s="8">
        <v>1410.0</v>
      </c>
      <c r="F63" s="8" t="s">
        <v>467</v>
      </c>
      <c r="G63" s="8" t="s">
        <v>468</v>
      </c>
      <c r="H63" s="8"/>
      <c r="I63" s="12">
        <f t="shared" si="1"/>
        <v>0.06690140845</v>
      </c>
      <c r="J63" s="12">
        <f t="shared" si="2"/>
        <v>0.02812428846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10">
        <v>45936.0</v>
      </c>
      <c r="B64" s="8">
        <v>1515.0</v>
      </c>
      <c r="C64" s="8">
        <v>1530.0</v>
      </c>
      <c r="D64" s="8">
        <v>1570.0</v>
      </c>
      <c r="E64" s="8">
        <v>1510.0</v>
      </c>
      <c r="F64" s="8" t="s">
        <v>471</v>
      </c>
      <c r="G64" s="8" t="s">
        <v>31</v>
      </c>
      <c r="H64" s="8"/>
      <c r="I64" s="12">
        <f t="shared" si="1"/>
        <v>0</v>
      </c>
      <c r="J64" s="12">
        <f t="shared" si="2"/>
        <v>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10">
        <v>45937.0</v>
      </c>
      <c r="B65" s="8">
        <v>1600.0</v>
      </c>
      <c r="C65" s="8">
        <v>1530.0</v>
      </c>
      <c r="D65" s="8">
        <v>1750.0</v>
      </c>
      <c r="E65" s="8">
        <v>1525.0</v>
      </c>
      <c r="F65" s="8" t="s">
        <v>474</v>
      </c>
      <c r="G65" s="8" t="s">
        <v>475</v>
      </c>
      <c r="H65" s="8"/>
      <c r="I65" s="12">
        <f t="shared" si="1"/>
        <v>0.05610561056</v>
      </c>
      <c r="J65" s="12">
        <f t="shared" si="2"/>
        <v>0.02370734982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10">
        <v>45938.0</v>
      </c>
      <c r="B66" s="8">
        <v>1580.0</v>
      </c>
      <c r="C66" s="8">
        <v>1620.0</v>
      </c>
      <c r="D66" s="8">
        <v>1630.0</v>
      </c>
      <c r="E66" s="8">
        <v>1565.0</v>
      </c>
      <c r="F66" s="8" t="s">
        <v>477</v>
      </c>
      <c r="G66" s="8" t="s">
        <v>478</v>
      </c>
      <c r="H66" s="8"/>
      <c r="I66" s="12">
        <f t="shared" si="1"/>
        <v>-0.0125</v>
      </c>
      <c r="J66" s="12">
        <f t="shared" si="2"/>
        <v>-0.005462895702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1.0527777777777778" footer="0.0" header="0.0" left="0.7875" right="0.7875" top="1.0527777777777778"/>
  <pageSetup paperSize="9" orientation="portrait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5.86"/>
    <col customWidth="1" min="11" max="11" width="11.57"/>
    <col customWidth="1" min="12" max="12" width="26.57"/>
    <col customWidth="1" min="13" max="26" width="11.57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5" t="s">
        <v>7</v>
      </c>
      <c r="J1" s="5" t="s">
        <v>8</v>
      </c>
      <c r="K1" s="6"/>
      <c r="L1" s="9" t="s">
        <v>9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75" customHeight="1">
      <c r="A2" s="10">
        <v>45938.0</v>
      </c>
      <c r="B2" s="8">
        <v>620.0</v>
      </c>
      <c r="C2" s="8">
        <v>595.0</v>
      </c>
      <c r="D2" s="8">
        <v>655.0</v>
      </c>
      <c r="E2" s="8">
        <v>585.0</v>
      </c>
      <c r="F2" s="8" t="s">
        <v>496</v>
      </c>
      <c r="G2" s="8" t="s">
        <v>497</v>
      </c>
      <c r="H2" s="8"/>
      <c r="I2" s="12">
        <v>0.0</v>
      </c>
      <c r="J2" s="12">
        <v>0.0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10">
        <v>45937.0</v>
      </c>
      <c r="B3" s="8">
        <v>585.0</v>
      </c>
      <c r="C3" s="8">
        <v>625.0</v>
      </c>
      <c r="D3" s="8">
        <v>645.0</v>
      </c>
      <c r="E3" s="8">
        <v>580.0</v>
      </c>
      <c r="F3" s="8" t="s">
        <v>498</v>
      </c>
      <c r="G3" s="8" t="s">
        <v>499</v>
      </c>
      <c r="H3" s="8"/>
      <c r="I3" s="12">
        <f t="shared" ref="I3:I66" si="1">IFERROR((B3/B2)-1,"")</f>
        <v>-0.0564516129</v>
      </c>
      <c r="J3" s="12">
        <f t="shared" ref="J3:J66" si="2">IFERROR(LOG(B3)-LOG(B2),"")</f>
        <v>-0.02523582342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10">
        <v>45936.0</v>
      </c>
      <c r="B4" s="8">
        <v>605.0</v>
      </c>
      <c r="C4" s="8">
        <v>565.0</v>
      </c>
      <c r="D4" s="8">
        <v>605.0</v>
      </c>
      <c r="E4" s="8">
        <v>560.0</v>
      </c>
      <c r="F4" s="8" t="s">
        <v>500</v>
      </c>
      <c r="G4" s="8" t="s">
        <v>501</v>
      </c>
      <c r="H4" s="8"/>
      <c r="I4" s="12">
        <f t="shared" si="1"/>
        <v>0.03418803419</v>
      </c>
      <c r="J4" s="12">
        <f t="shared" si="2"/>
        <v>0.01459950857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10">
        <v>45933.0</v>
      </c>
      <c r="B5" s="8">
        <v>555.0</v>
      </c>
      <c r="C5" s="8">
        <v>575.0</v>
      </c>
      <c r="D5" s="8">
        <v>575.0</v>
      </c>
      <c r="E5" s="8">
        <v>550.0</v>
      </c>
      <c r="F5" s="8" t="s">
        <v>502</v>
      </c>
      <c r="G5" s="8" t="s">
        <v>503</v>
      </c>
      <c r="H5" s="8"/>
      <c r="I5" s="12">
        <f t="shared" si="1"/>
        <v>-0.0826446281</v>
      </c>
      <c r="J5" s="12">
        <f t="shared" si="2"/>
        <v>-0.03746239153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10">
        <v>45932.0</v>
      </c>
      <c r="B6" s="8">
        <v>570.0</v>
      </c>
      <c r="C6" s="8">
        <v>575.0</v>
      </c>
      <c r="D6" s="8">
        <v>580.0</v>
      </c>
      <c r="E6" s="8">
        <v>560.0</v>
      </c>
      <c r="F6" s="8" t="s">
        <v>504</v>
      </c>
      <c r="G6" s="8" t="s">
        <v>505</v>
      </c>
      <c r="H6" s="8"/>
      <c r="I6" s="12">
        <f t="shared" si="1"/>
        <v>0.02702702703</v>
      </c>
      <c r="J6" s="12">
        <f t="shared" si="2"/>
        <v>0.01158187255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10">
        <v>45931.0</v>
      </c>
      <c r="B7" s="8">
        <v>575.0</v>
      </c>
      <c r="C7" s="8">
        <v>555.0</v>
      </c>
      <c r="D7" s="8">
        <v>580.0</v>
      </c>
      <c r="E7" s="8">
        <v>555.0</v>
      </c>
      <c r="F7" s="8" t="s">
        <v>506</v>
      </c>
      <c r="G7" s="8" t="s">
        <v>507</v>
      </c>
      <c r="H7" s="8"/>
      <c r="I7" s="12">
        <f t="shared" si="1"/>
        <v>0.008771929825</v>
      </c>
      <c r="J7" s="12">
        <f t="shared" si="2"/>
        <v>0.003792989017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10">
        <v>45930.0</v>
      </c>
      <c r="B8" s="8">
        <v>555.0</v>
      </c>
      <c r="C8" s="8">
        <v>585.0</v>
      </c>
      <c r="D8" s="8">
        <v>605.0</v>
      </c>
      <c r="E8" s="8">
        <v>550.0</v>
      </c>
      <c r="F8" s="8" t="s">
        <v>508</v>
      </c>
      <c r="G8" s="8" t="s">
        <v>509</v>
      </c>
      <c r="H8" s="8"/>
      <c r="I8" s="12">
        <f t="shared" si="1"/>
        <v>-0.0347826087</v>
      </c>
      <c r="J8" s="12">
        <f t="shared" si="2"/>
        <v>-0.01537486157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10">
        <v>45929.0</v>
      </c>
      <c r="B9" s="8">
        <v>575.0</v>
      </c>
      <c r="C9" s="8">
        <v>550.0</v>
      </c>
      <c r="D9" s="8">
        <v>585.0</v>
      </c>
      <c r="E9" s="8">
        <v>545.0</v>
      </c>
      <c r="F9" s="8" t="s">
        <v>510</v>
      </c>
      <c r="G9" s="8" t="s">
        <v>511</v>
      </c>
      <c r="H9" s="8"/>
      <c r="I9" s="12">
        <f t="shared" si="1"/>
        <v>0.03603603604</v>
      </c>
      <c r="J9" s="12">
        <f t="shared" si="2"/>
        <v>0.01537486157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10">
        <v>45926.0</v>
      </c>
      <c r="B10" s="8">
        <v>545.0</v>
      </c>
      <c r="C10" s="8">
        <v>520.0</v>
      </c>
      <c r="D10" s="8">
        <v>550.0</v>
      </c>
      <c r="E10" s="8">
        <v>520.0</v>
      </c>
      <c r="F10" s="8" t="s">
        <v>512</v>
      </c>
      <c r="G10" s="8" t="s">
        <v>513</v>
      </c>
      <c r="H10" s="8"/>
      <c r="I10" s="12">
        <f t="shared" si="1"/>
        <v>-0.05217391304</v>
      </c>
      <c r="J10" s="12">
        <f t="shared" si="2"/>
        <v>-0.02327134241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10">
        <v>45925.0</v>
      </c>
      <c r="B11" s="8">
        <v>520.0</v>
      </c>
      <c r="C11" s="8">
        <v>535.0</v>
      </c>
      <c r="D11" s="8">
        <v>540.0</v>
      </c>
      <c r="E11" s="8">
        <v>520.0</v>
      </c>
      <c r="F11" s="8" t="s">
        <v>514</v>
      </c>
      <c r="G11" s="8" t="s">
        <v>372</v>
      </c>
      <c r="H11" s="8"/>
      <c r="I11" s="12">
        <f t="shared" si="1"/>
        <v>-0.04587155963</v>
      </c>
      <c r="J11" s="12">
        <f t="shared" si="2"/>
        <v>-0.02039315864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10">
        <v>45924.0</v>
      </c>
      <c r="B12" s="8">
        <v>535.0</v>
      </c>
      <c r="C12" s="8">
        <v>575.0</v>
      </c>
      <c r="D12" s="8">
        <v>575.0</v>
      </c>
      <c r="E12" s="8">
        <v>535.0</v>
      </c>
      <c r="F12" s="8" t="s">
        <v>515</v>
      </c>
      <c r="G12" s="8" t="s">
        <v>516</v>
      </c>
      <c r="H12" s="8"/>
      <c r="I12" s="12">
        <f t="shared" si="1"/>
        <v>0.02884615385</v>
      </c>
      <c r="J12" s="12">
        <f t="shared" si="2"/>
        <v>0.01235043839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10">
        <v>45923.0</v>
      </c>
      <c r="B13" s="8">
        <v>570.0</v>
      </c>
      <c r="C13" s="8">
        <v>565.0</v>
      </c>
      <c r="D13" s="8">
        <v>580.0</v>
      </c>
      <c r="E13" s="8">
        <v>555.0</v>
      </c>
      <c r="F13" s="8" t="s">
        <v>517</v>
      </c>
      <c r="G13" s="8" t="s">
        <v>518</v>
      </c>
      <c r="H13" s="8"/>
      <c r="I13" s="12">
        <f t="shared" si="1"/>
        <v>0.06542056075</v>
      </c>
      <c r="J13" s="12">
        <f t="shared" si="2"/>
        <v>0.02752107365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10">
        <v>45922.0</v>
      </c>
      <c r="B14" s="8">
        <v>550.0</v>
      </c>
      <c r="C14" s="8">
        <v>535.0</v>
      </c>
      <c r="D14" s="8">
        <v>555.0</v>
      </c>
      <c r="E14" s="8">
        <v>535.0</v>
      </c>
      <c r="F14" s="8" t="s">
        <v>519</v>
      </c>
      <c r="G14" s="8" t="s">
        <v>144</v>
      </c>
      <c r="H14" s="8"/>
      <c r="I14" s="12">
        <f t="shared" si="1"/>
        <v>-0.0350877193</v>
      </c>
      <c r="J14" s="12">
        <f t="shared" si="2"/>
        <v>-0.01551216618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10">
        <v>45919.0</v>
      </c>
      <c r="B15" s="8">
        <v>525.0</v>
      </c>
      <c r="C15" s="8">
        <v>520.0</v>
      </c>
      <c r="D15" s="8">
        <v>540.0</v>
      </c>
      <c r="E15" s="8">
        <v>510.0</v>
      </c>
      <c r="F15" s="8" t="s">
        <v>520</v>
      </c>
      <c r="G15" s="8" t="s">
        <v>31</v>
      </c>
      <c r="H15" s="8"/>
      <c r="I15" s="12">
        <f t="shared" si="1"/>
        <v>-0.04545454545</v>
      </c>
      <c r="J15" s="12">
        <f t="shared" si="2"/>
        <v>-0.02020338609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10">
        <v>45918.0</v>
      </c>
      <c r="B16" s="8">
        <v>525.0</v>
      </c>
      <c r="C16" s="8">
        <v>540.0</v>
      </c>
      <c r="D16" s="8">
        <v>545.0</v>
      </c>
      <c r="E16" s="8">
        <v>515.0</v>
      </c>
      <c r="F16" s="8" t="s">
        <v>521</v>
      </c>
      <c r="G16" s="8" t="s">
        <v>239</v>
      </c>
      <c r="H16" s="8"/>
      <c r="I16" s="12">
        <f t="shared" si="1"/>
        <v>0</v>
      </c>
      <c r="J16" s="12">
        <f t="shared" si="2"/>
        <v>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10">
        <v>45917.0</v>
      </c>
      <c r="B17" s="8">
        <v>540.0</v>
      </c>
      <c r="C17" s="8">
        <v>555.0</v>
      </c>
      <c r="D17" s="8">
        <v>560.0</v>
      </c>
      <c r="E17" s="8">
        <v>535.0</v>
      </c>
      <c r="F17" s="8" t="s">
        <v>522</v>
      </c>
      <c r="G17" s="8" t="s">
        <v>523</v>
      </c>
      <c r="H17" s="8"/>
      <c r="I17" s="12">
        <f t="shared" si="1"/>
        <v>0.02857142857</v>
      </c>
      <c r="J17" s="12">
        <f t="shared" si="2"/>
        <v>0.01223445642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10">
        <v>45916.0</v>
      </c>
      <c r="B18" s="8">
        <v>565.0</v>
      </c>
      <c r="C18" s="8">
        <v>585.0</v>
      </c>
      <c r="D18" s="8">
        <v>585.0</v>
      </c>
      <c r="E18" s="8">
        <v>555.0</v>
      </c>
      <c r="F18" s="8" t="s">
        <v>524</v>
      </c>
      <c r="G18" s="8" t="s">
        <v>315</v>
      </c>
      <c r="H18" s="8"/>
      <c r="I18" s="12">
        <f t="shared" si="1"/>
        <v>0.0462962963</v>
      </c>
      <c r="J18" s="12">
        <f t="shared" si="2"/>
        <v>0.019654688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10">
        <v>45915.0</v>
      </c>
      <c r="B19" s="8">
        <v>570.0</v>
      </c>
      <c r="C19" s="8">
        <v>610.0</v>
      </c>
      <c r="D19" s="8">
        <v>620.0</v>
      </c>
      <c r="E19" s="8">
        <v>555.0</v>
      </c>
      <c r="F19" s="8" t="s">
        <v>525</v>
      </c>
      <c r="G19" s="8" t="s">
        <v>505</v>
      </c>
      <c r="H19" s="8"/>
      <c r="I19" s="12">
        <f t="shared" si="1"/>
        <v>0.008849557522</v>
      </c>
      <c r="J19" s="12">
        <f t="shared" si="2"/>
        <v>0.003826407853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10">
        <v>45912.0</v>
      </c>
      <c r="B20" s="8">
        <v>575.0</v>
      </c>
      <c r="C20" s="8">
        <v>535.0</v>
      </c>
      <c r="D20" s="8">
        <v>585.0</v>
      </c>
      <c r="E20" s="8">
        <v>525.0</v>
      </c>
      <c r="F20" s="8" t="s">
        <v>526</v>
      </c>
      <c r="G20" s="8" t="s">
        <v>527</v>
      </c>
      <c r="H20" s="8"/>
      <c r="I20" s="12">
        <f t="shared" si="1"/>
        <v>0.008771929825</v>
      </c>
      <c r="J20" s="12">
        <f t="shared" si="2"/>
        <v>0.003792989017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10">
        <v>45911.0</v>
      </c>
      <c r="B21" s="8">
        <v>520.0</v>
      </c>
      <c r="C21" s="8">
        <v>535.0</v>
      </c>
      <c r="D21" s="8">
        <v>545.0</v>
      </c>
      <c r="E21" s="8">
        <v>510.0</v>
      </c>
      <c r="F21" s="8" t="s">
        <v>528</v>
      </c>
      <c r="G21" s="8" t="s">
        <v>372</v>
      </c>
      <c r="H21" s="8"/>
      <c r="I21" s="12">
        <f t="shared" si="1"/>
        <v>-0.09565217391</v>
      </c>
      <c r="J21" s="12">
        <f t="shared" si="2"/>
        <v>-0.04366450105</v>
      </c>
      <c r="K21" s="8"/>
      <c r="L21" s="9" t="s">
        <v>138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10">
        <v>45910.0</v>
      </c>
      <c r="B22" s="8">
        <v>535.0</v>
      </c>
      <c r="C22" s="8">
        <v>570.0</v>
      </c>
      <c r="D22" s="8">
        <v>570.0</v>
      </c>
      <c r="E22" s="8">
        <v>520.0</v>
      </c>
      <c r="F22" s="8" t="s">
        <v>529</v>
      </c>
      <c r="G22" s="8" t="s">
        <v>516</v>
      </c>
      <c r="H22" s="8"/>
      <c r="I22" s="12">
        <f t="shared" si="1"/>
        <v>0.02884615385</v>
      </c>
      <c r="J22" s="12">
        <f t="shared" si="2"/>
        <v>0.01235043839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10">
        <v>45909.0</v>
      </c>
      <c r="B23" s="8">
        <v>570.0</v>
      </c>
      <c r="C23" s="8">
        <v>600.0</v>
      </c>
      <c r="D23" s="8">
        <v>625.0</v>
      </c>
      <c r="E23" s="8">
        <v>565.0</v>
      </c>
      <c r="F23" s="8" t="s">
        <v>530</v>
      </c>
      <c r="G23" s="8" t="s">
        <v>531</v>
      </c>
      <c r="H23" s="8"/>
      <c r="I23" s="12">
        <f t="shared" si="1"/>
        <v>0.06542056075</v>
      </c>
      <c r="J23" s="12">
        <f t="shared" si="2"/>
        <v>0.02752107365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10">
        <v>45908.0</v>
      </c>
      <c r="B24" s="8">
        <v>585.0</v>
      </c>
      <c r="C24" s="8">
        <v>585.0</v>
      </c>
      <c r="D24" s="8">
        <v>665.0</v>
      </c>
      <c r="E24" s="8">
        <v>580.0</v>
      </c>
      <c r="F24" s="8" t="s">
        <v>532</v>
      </c>
      <c r="G24" s="8" t="s">
        <v>533</v>
      </c>
      <c r="H24" s="8"/>
      <c r="I24" s="12">
        <f t="shared" si="1"/>
        <v>0.02631578947</v>
      </c>
      <c r="J24" s="12">
        <f t="shared" si="2"/>
        <v>0.01128101041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10">
        <v>45904.0</v>
      </c>
      <c r="B25" s="8">
        <v>565.0</v>
      </c>
      <c r="C25" s="8">
        <v>625.0</v>
      </c>
      <c r="D25" s="8">
        <v>640.0</v>
      </c>
      <c r="E25" s="8">
        <v>565.0</v>
      </c>
      <c r="F25" s="8" t="s">
        <v>534</v>
      </c>
      <c r="G25" s="8" t="s">
        <v>535</v>
      </c>
      <c r="H25" s="8"/>
      <c r="I25" s="12">
        <f t="shared" si="1"/>
        <v>-0.03418803419</v>
      </c>
      <c r="J25" s="12">
        <f t="shared" si="2"/>
        <v>-0.01510741826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10">
        <v>45903.0</v>
      </c>
      <c r="B26" s="8">
        <v>610.0</v>
      </c>
      <c r="C26" s="8">
        <v>620.0</v>
      </c>
      <c r="D26" s="8">
        <v>630.0</v>
      </c>
      <c r="E26" s="8">
        <v>565.0</v>
      </c>
      <c r="F26" s="8" t="s">
        <v>536</v>
      </c>
      <c r="G26" s="8" t="s">
        <v>537</v>
      </c>
      <c r="H26" s="8"/>
      <c r="I26" s="12">
        <f t="shared" si="1"/>
        <v>0.0796460177</v>
      </c>
      <c r="J26" s="12">
        <f t="shared" si="2"/>
        <v>0.03328138719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10">
        <v>45902.0</v>
      </c>
      <c r="B27" s="8">
        <v>600.0</v>
      </c>
      <c r="C27" s="8">
        <v>615.0</v>
      </c>
      <c r="D27" s="8">
        <v>640.0</v>
      </c>
      <c r="E27" s="8">
        <v>595.0</v>
      </c>
      <c r="F27" s="8" t="s">
        <v>538</v>
      </c>
      <c r="G27" s="8" t="s">
        <v>539</v>
      </c>
      <c r="H27" s="8"/>
      <c r="I27" s="12">
        <f t="shared" si="1"/>
        <v>-0.01639344262</v>
      </c>
      <c r="J27" s="12">
        <f t="shared" si="2"/>
        <v>-0.007178584627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10">
        <v>45901.0</v>
      </c>
      <c r="B28" s="8">
        <v>595.0</v>
      </c>
      <c r="C28" s="8">
        <v>600.0</v>
      </c>
      <c r="D28" s="8">
        <v>665.0</v>
      </c>
      <c r="E28" s="8">
        <v>575.0</v>
      </c>
      <c r="F28" s="8" t="s">
        <v>540</v>
      </c>
      <c r="G28" s="8" t="s">
        <v>541</v>
      </c>
      <c r="H28" s="8"/>
      <c r="I28" s="12">
        <f t="shared" si="1"/>
        <v>-0.008333333333</v>
      </c>
      <c r="J28" s="12">
        <f t="shared" si="2"/>
        <v>-0.003634284655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10">
        <v>45898.0</v>
      </c>
      <c r="B29" s="8">
        <v>620.0</v>
      </c>
      <c r="C29" s="8">
        <v>525.0</v>
      </c>
      <c r="D29" s="8">
        <v>665.0</v>
      </c>
      <c r="E29" s="8">
        <v>510.0</v>
      </c>
      <c r="F29" s="8" t="s">
        <v>542</v>
      </c>
      <c r="G29" s="8" t="s">
        <v>543</v>
      </c>
      <c r="H29" s="8"/>
      <c r="I29" s="12">
        <f t="shared" si="1"/>
        <v>0.04201680672</v>
      </c>
      <c r="J29" s="12">
        <f t="shared" si="2"/>
        <v>0.01787472377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10">
        <v>45897.0</v>
      </c>
      <c r="B30" s="8">
        <v>550.0</v>
      </c>
      <c r="C30" s="8">
        <v>440.0</v>
      </c>
      <c r="D30" s="8">
        <v>550.0</v>
      </c>
      <c r="E30" s="8">
        <v>440.0</v>
      </c>
      <c r="F30" s="8" t="s">
        <v>544</v>
      </c>
      <c r="G30" s="8" t="s">
        <v>545</v>
      </c>
      <c r="H30" s="8"/>
      <c r="I30" s="12">
        <f t="shared" si="1"/>
        <v>-0.1129032258</v>
      </c>
      <c r="J30" s="12">
        <f t="shared" si="2"/>
        <v>-0.052029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10">
        <v>45896.0</v>
      </c>
      <c r="B31" s="8">
        <v>440.0</v>
      </c>
      <c r="C31" s="8">
        <v>450.0</v>
      </c>
      <c r="D31" s="8">
        <v>458.0</v>
      </c>
      <c r="E31" s="8">
        <v>434.0</v>
      </c>
      <c r="F31" s="8" t="s">
        <v>546</v>
      </c>
      <c r="G31" s="8" t="s">
        <v>547</v>
      </c>
      <c r="H31" s="8"/>
      <c r="I31" s="12">
        <f t="shared" si="1"/>
        <v>-0.2</v>
      </c>
      <c r="J31" s="12">
        <f t="shared" si="2"/>
        <v>-0.09691001301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10">
        <v>45895.0</v>
      </c>
      <c r="B32" s="8">
        <v>442.0</v>
      </c>
      <c r="C32" s="8">
        <v>462.0</v>
      </c>
      <c r="D32" s="8">
        <v>480.0</v>
      </c>
      <c r="E32" s="8">
        <v>440.0</v>
      </c>
      <c r="F32" s="8" t="s">
        <v>548</v>
      </c>
      <c r="G32" s="8" t="s">
        <v>549</v>
      </c>
      <c r="H32" s="8"/>
      <c r="I32" s="12">
        <f t="shared" si="1"/>
        <v>0.004545454545</v>
      </c>
      <c r="J32" s="12">
        <f t="shared" si="2"/>
        <v>0.001969592863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10">
        <v>45894.0</v>
      </c>
      <c r="B33" s="8">
        <v>456.0</v>
      </c>
      <c r="C33" s="8">
        <v>426.0</v>
      </c>
      <c r="D33" s="8">
        <v>458.0</v>
      </c>
      <c r="E33" s="8">
        <v>426.0</v>
      </c>
      <c r="F33" s="8" t="s">
        <v>550</v>
      </c>
      <c r="G33" s="8" t="s">
        <v>551</v>
      </c>
      <c r="H33" s="8"/>
      <c r="I33" s="12">
        <f t="shared" si="1"/>
        <v>0.03167420814</v>
      </c>
      <c r="J33" s="12">
        <f t="shared" si="2"/>
        <v>0.01354257332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10">
        <v>45891.0</v>
      </c>
      <c r="B34" s="8">
        <v>422.0</v>
      </c>
      <c r="C34" s="8">
        <v>430.0</v>
      </c>
      <c r="D34" s="8">
        <v>436.0</v>
      </c>
      <c r="E34" s="8">
        <v>420.0</v>
      </c>
      <c r="F34" s="8" t="s">
        <v>552</v>
      </c>
      <c r="G34" s="8" t="s">
        <v>553</v>
      </c>
      <c r="H34" s="8"/>
      <c r="I34" s="12">
        <f t="shared" si="1"/>
        <v>-0.07456140351</v>
      </c>
      <c r="J34" s="12">
        <f t="shared" si="2"/>
        <v>-0.0336523917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0">
        <v>45890.0</v>
      </c>
      <c r="B35" s="8">
        <v>428.0</v>
      </c>
      <c r="C35" s="8">
        <v>442.0</v>
      </c>
      <c r="D35" s="8">
        <v>444.0</v>
      </c>
      <c r="E35" s="8">
        <v>420.0</v>
      </c>
      <c r="F35" s="8" t="s">
        <v>554</v>
      </c>
      <c r="G35" s="8" t="s">
        <v>555</v>
      </c>
      <c r="H35" s="8"/>
      <c r="I35" s="12">
        <f t="shared" si="1"/>
        <v>0.01421800948</v>
      </c>
      <c r="J35" s="12">
        <f t="shared" si="2"/>
        <v>0.006131318051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0">
        <v>45889.0</v>
      </c>
      <c r="B36" s="8">
        <v>442.0</v>
      </c>
      <c r="C36" s="8">
        <v>446.0</v>
      </c>
      <c r="D36" s="8">
        <v>446.0</v>
      </c>
      <c r="E36" s="8">
        <v>432.0</v>
      </c>
      <c r="F36" s="8" t="s">
        <v>556</v>
      </c>
      <c r="G36" s="8" t="s">
        <v>547</v>
      </c>
      <c r="H36" s="8"/>
      <c r="I36" s="12">
        <f t="shared" si="1"/>
        <v>0.03271028037</v>
      </c>
      <c r="J36" s="12">
        <f t="shared" si="2"/>
        <v>0.01397850034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0">
        <v>45888.0</v>
      </c>
      <c r="B37" s="8">
        <v>444.0</v>
      </c>
      <c r="C37" s="8">
        <v>418.0</v>
      </c>
      <c r="D37" s="8">
        <v>458.0</v>
      </c>
      <c r="E37" s="8">
        <v>416.0</v>
      </c>
      <c r="F37" s="8" t="s">
        <v>557</v>
      </c>
      <c r="G37" s="8" t="s">
        <v>558</v>
      </c>
      <c r="H37" s="8"/>
      <c r="I37" s="12">
        <f t="shared" si="1"/>
        <v>0.004524886878</v>
      </c>
      <c r="J37" s="12">
        <f t="shared" si="2"/>
        <v>0.001960700766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0">
        <v>45884.0</v>
      </c>
      <c r="B38" s="8">
        <v>412.0</v>
      </c>
      <c r="C38" s="8">
        <v>410.0</v>
      </c>
      <c r="D38" s="8">
        <v>424.0</v>
      </c>
      <c r="E38" s="8">
        <v>404.0</v>
      </c>
      <c r="F38" s="8" t="s">
        <v>559</v>
      </c>
      <c r="G38" s="8" t="s">
        <v>560</v>
      </c>
      <c r="H38" s="8"/>
      <c r="I38" s="12">
        <f t="shared" si="1"/>
        <v>-0.07207207207</v>
      </c>
      <c r="J38" s="12">
        <f t="shared" si="2"/>
        <v>-0.03248575408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10">
        <v>45883.0</v>
      </c>
      <c r="B39" s="8">
        <v>410.0</v>
      </c>
      <c r="C39" s="8">
        <v>420.0</v>
      </c>
      <c r="D39" s="8">
        <v>422.0</v>
      </c>
      <c r="E39" s="8">
        <v>408.0</v>
      </c>
      <c r="F39" s="8" t="s">
        <v>561</v>
      </c>
      <c r="G39" s="8" t="s">
        <v>562</v>
      </c>
      <c r="H39" s="8"/>
      <c r="I39" s="12">
        <f t="shared" si="1"/>
        <v>-0.004854368932</v>
      </c>
      <c r="J39" s="12">
        <f t="shared" si="2"/>
        <v>-0.002113359313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10">
        <v>45882.0</v>
      </c>
      <c r="B40" s="8">
        <v>416.0</v>
      </c>
      <c r="C40" s="8">
        <v>400.0</v>
      </c>
      <c r="D40" s="8">
        <v>418.0</v>
      </c>
      <c r="E40" s="8">
        <v>398.0</v>
      </c>
      <c r="F40" s="8" t="s">
        <v>563</v>
      </c>
      <c r="G40" s="8" t="s">
        <v>564</v>
      </c>
      <c r="H40" s="8"/>
      <c r="I40" s="12">
        <f t="shared" si="1"/>
        <v>0.01463414634</v>
      </c>
      <c r="J40" s="12">
        <f t="shared" si="2"/>
        <v>0.006309473907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10">
        <v>45881.0</v>
      </c>
      <c r="B41" s="8">
        <v>400.0</v>
      </c>
      <c r="C41" s="8">
        <v>406.0</v>
      </c>
      <c r="D41" s="8">
        <v>408.0</v>
      </c>
      <c r="E41" s="8">
        <v>396.0</v>
      </c>
      <c r="F41" s="8" t="s">
        <v>565</v>
      </c>
      <c r="G41" s="8" t="s">
        <v>566</v>
      </c>
      <c r="H41" s="8"/>
      <c r="I41" s="12">
        <f t="shared" si="1"/>
        <v>-0.03846153846</v>
      </c>
      <c r="J41" s="12">
        <f t="shared" si="2"/>
        <v>-0.0170333393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10">
        <v>45880.0</v>
      </c>
      <c r="B42" s="8">
        <v>410.0</v>
      </c>
      <c r="C42" s="8">
        <v>424.0</v>
      </c>
      <c r="D42" s="8">
        <v>424.0</v>
      </c>
      <c r="E42" s="8">
        <v>404.0</v>
      </c>
      <c r="F42" s="8" t="s">
        <v>567</v>
      </c>
      <c r="G42" s="8" t="s">
        <v>568</v>
      </c>
      <c r="H42" s="8"/>
      <c r="I42" s="12">
        <f t="shared" si="1"/>
        <v>0.025</v>
      </c>
      <c r="J42" s="12">
        <f t="shared" si="2"/>
        <v>0.01072386539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10">
        <v>45877.0</v>
      </c>
      <c r="B43" s="8">
        <v>420.0</v>
      </c>
      <c r="C43" s="8">
        <v>430.0</v>
      </c>
      <c r="D43" s="8">
        <v>430.0</v>
      </c>
      <c r="E43" s="8">
        <v>410.0</v>
      </c>
      <c r="F43" s="8" t="s">
        <v>569</v>
      </c>
      <c r="G43" s="8" t="s">
        <v>570</v>
      </c>
      <c r="H43" s="8"/>
      <c r="I43" s="12">
        <f t="shared" si="1"/>
        <v>0.0243902439</v>
      </c>
      <c r="J43" s="12">
        <f t="shared" si="2"/>
        <v>0.01046543368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10">
        <v>45876.0</v>
      </c>
      <c r="B44" s="8">
        <v>424.0</v>
      </c>
      <c r="C44" s="8">
        <v>426.0</v>
      </c>
      <c r="D44" s="8">
        <v>430.0</v>
      </c>
      <c r="E44" s="8">
        <v>418.0</v>
      </c>
      <c r="F44" s="8" t="s">
        <v>571</v>
      </c>
      <c r="G44" s="8" t="s">
        <v>31</v>
      </c>
      <c r="H44" s="8"/>
      <c r="I44" s="12">
        <f t="shared" si="1"/>
        <v>0.009523809524</v>
      </c>
      <c r="J44" s="12">
        <f t="shared" si="2"/>
        <v>0.004116566195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10">
        <v>45875.0</v>
      </c>
      <c r="B45" s="8">
        <v>424.0</v>
      </c>
      <c r="C45" s="8">
        <v>404.0</v>
      </c>
      <c r="D45" s="8">
        <v>426.0</v>
      </c>
      <c r="E45" s="8">
        <v>404.0</v>
      </c>
      <c r="F45" s="8" t="s">
        <v>572</v>
      </c>
      <c r="G45" s="8" t="s">
        <v>573</v>
      </c>
      <c r="H45" s="8"/>
      <c r="I45" s="12">
        <f t="shared" si="1"/>
        <v>0</v>
      </c>
      <c r="J45" s="12">
        <f t="shared" si="2"/>
        <v>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10">
        <v>45874.0</v>
      </c>
      <c r="B46" s="8">
        <v>400.0</v>
      </c>
      <c r="C46" s="8">
        <v>402.0</v>
      </c>
      <c r="D46" s="8">
        <v>408.0</v>
      </c>
      <c r="E46" s="8">
        <v>400.0</v>
      </c>
      <c r="F46" s="8" t="s">
        <v>574</v>
      </c>
      <c r="G46" s="8" t="s">
        <v>31</v>
      </c>
      <c r="H46" s="8"/>
      <c r="I46" s="12">
        <f t="shared" si="1"/>
        <v>-0.05660377358</v>
      </c>
      <c r="J46" s="12">
        <f t="shared" si="2"/>
        <v>-0.02530586526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10">
        <v>45873.0</v>
      </c>
      <c r="B47" s="8">
        <v>400.0</v>
      </c>
      <c r="C47" s="8">
        <v>408.0</v>
      </c>
      <c r="D47" s="8">
        <v>414.0</v>
      </c>
      <c r="E47" s="8">
        <v>398.0</v>
      </c>
      <c r="F47" s="8" t="s">
        <v>575</v>
      </c>
      <c r="G47" s="8" t="s">
        <v>31</v>
      </c>
      <c r="H47" s="8"/>
      <c r="I47" s="12">
        <f t="shared" si="1"/>
        <v>0</v>
      </c>
      <c r="J47" s="12">
        <f t="shared" si="2"/>
        <v>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10">
        <v>45870.0</v>
      </c>
      <c r="B48" s="8">
        <v>400.0</v>
      </c>
      <c r="C48" s="8">
        <v>408.0</v>
      </c>
      <c r="D48" s="8">
        <v>412.0</v>
      </c>
      <c r="E48" s="8">
        <v>396.0</v>
      </c>
      <c r="F48" s="8" t="s">
        <v>576</v>
      </c>
      <c r="G48" s="8" t="s">
        <v>577</v>
      </c>
      <c r="H48" s="8"/>
      <c r="I48" s="12">
        <f t="shared" si="1"/>
        <v>0</v>
      </c>
      <c r="J48" s="12">
        <f t="shared" si="2"/>
        <v>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10">
        <v>45869.0</v>
      </c>
      <c r="B49" s="8">
        <v>408.0</v>
      </c>
      <c r="C49" s="8">
        <v>410.0</v>
      </c>
      <c r="D49" s="8">
        <v>418.0</v>
      </c>
      <c r="E49" s="8">
        <v>404.0</v>
      </c>
      <c r="F49" s="8" t="s">
        <v>578</v>
      </c>
      <c r="G49" s="8" t="s">
        <v>579</v>
      </c>
      <c r="H49" s="8"/>
      <c r="I49" s="12">
        <f t="shared" si="1"/>
        <v>0.02</v>
      </c>
      <c r="J49" s="12">
        <f t="shared" si="2"/>
        <v>0.008600171762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10">
        <v>45868.0</v>
      </c>
      <c r="B50" s="8">
        <v>410.0</v>
      </c>
      <c r="C50" s="8">
        <v>422.0</v>
      </c>
      <c r="D50" s="8">
        <v>426.0</v>
      </c>
      <c r="E50" s="8">
        <v>410.0</v>
      </c>
      <c r="F50" s="8" t="s">
        <v>580</v>
      </c>
      <c r="G50" s="8" t="s">
        <v>568</v>
      </c>
      <c r="H50" s="8"/>
      <c r="I50" s="12">
        <f t="shared" si="1"/>
        <v>0.004901960784</v>
      </c>
      <c r="J50" s="12">
        <f t="shared" si="2"/>
        <v>0.00212369363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10">
        <v>45867.0</v>
      </c>
      <c r="B51" s="8">
        <v>420.0</v>
      </c>
      <c r="C51" s="8">
        <v>410.0</v>
      </c>
      <c r="D51" s="8">
        <v>424.0</v>
      </c>
      <c r="E51" s="8">
        <v>408.0</v>
      </c>
      <c r="F51" s="8" t="s">
        <v>581</v>
      </c>
      <c r="G51" s="8" t="s">
        <v>582</v>
      </c>
      <c r="H51" s="8"/>
      <c r="I51" s="12">
        <f t="shared" si="1"/>
        <v>0.0243902439</v>
      </c>
      <c r="J51" s="12">
        <f t="shared" si="2"/>
        <v>0.01046543368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10">
        <v>45866.0</v>
      </c>
      <c r="B52" s="8">
        <v>410.0</v>
      </c>
      <c r="C52" s="8">
        <v>408.0</v>
      </c>
      <c r="D52" s="8">
        <v>418.0</v>
      </c>
      <c r="E52" s="8">
        <v>402.0</v>
      </c>
      <c r="F52" s="8" t="s">
        <v>583</v>
      </c>
      <c r="G52" s="8" t="s">
        <v>31</v>
      </c>
      <c r="H52" s="8"/>
      <c r="I52" s="12">
        <f t="shared" si="1"/>
        <v>-0.02380952381</v>
      </c>
      <c r="J52" s="12">
        <f t="shared" si="2"/>
        <v>-0.01046543368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10">
        <v>45863.0</v>
      </c>
      <c r="B53" s="8">
        <v>410.0</v>
      </c>
      <c r="C53" s="8">
        <v>436.0</v>
      </c>
      <c r="D53" s="8">
        <v>436.0</v>
      </c>
      <c r="E53" s="8">
        <v>408.0</v>
      </c>
      <c r="F53" s="8" t="s">
        <v>584</v>
      </c>
      <c r="G53" s="8" t="s">
        <v>585</v>
      </c>
      <c r="H53" s="8"/>
      <c r="I53" s="12">
        <f t="shared" si="1"/>
        <v>0</v>
      </c>
      <c r="J53" s="12">
        <f t="shared" si="2"/>
        <v>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10">
        <v>45862.0</v>
      </c>
      <c r="B54" s="8">
        <v>434.0</v>
      </c>
      <c r="C54" s="8">
        <v>440.0</v>
      </c>
      <c r="D54" s="8">
        <v>440.0</v>
      </c>
      <c r="E54" s="8">
        <v>432.0</v>
      </c>
      <c r="F54" s="8" t="s">
        <v>586</v>
      </c>
      <c r="G54" s="8" t="s">
        <v>587</v>
      </c>
      <c r="H54" s="8"/>
      <c r="I54" s="12">
        <f t="shared" si="1"/>
        <v>0.05853658537</v>
      </c>
      <c r="J54" s="12">
        <f t="shared" si="2"/>
        <v>0.02470587279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10">
        <v>45861.0</v>
      </c>
      <c r="B55" s="8">
        <v>442.0</v>
      </c>
      <c r="C55" s="8">
        <v>444.0</v>
      </c>
      <c r="D55" s="8">
        <v>450.0</v>
      </c>
      <c r="E55" s="8">
        <v>436.0</v>
      </c>
      <c r="F55" s="8" t="s">
        <v>588</v>
      </c>
      <c r="G55" s="8" t="s">
        <v>589</v>
      </c>
      <c r="H55" s="8"/>
      <c r="I55" s="12">
        <f t="shared" si="1"/>
        <v>0.01843317972</v>
      </c>
      <c r="J55" s="12">
        <f t="shared" si="2"/>
        <v>0.007932539837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10">
        <v>45860.0</v>
      </c>
      <c r="B56" s="8">
        <v>438.0</v>
      </c>
      <c r="C56" s="8">
        <v>482.0</v>
      </c>
      <c r="D56" s="8">
        <v>486.0</v>
      </c>
      <c r="E56" s="8">
        <v>432.0</v>
      </c>
      <c r="F56" s="8" t="s">
        <v>590</v>
      </c>
      <c r="G56" s="8" t="s">
        <v>591</v>
      </c>
      <c r="H56" s="8"/>
      <c r="I56" s="12">
        <f t="shared" si="1"/>
        <v>-0.009049773756</v>
      </c>
      <c r="J56" s="12">
        <f t="shared" si="2"/>
        <v>-0.003948158845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10">
        <v>45859.0</v>
      </c>
      <c r="B57" s="8">
        <v>472.0</v>
      </c>
      <c r="C57" s="8">
        <v>458.0</v>
      </c>
      <c r="D57" s="8">
        <v>474.0</v>
      </c>
      <c r="E57" s="8">
        <v>456.0</v>
      </c>
      <c r="F57" s="8" t="s">
        <v>592</v>
      </c>
      <c r="G57" s="8" t="s">
        <v>593</v>
      </c>
      <c r="H57" s="8"/>
      <c r="I57" s="12">
        <f t="shared" si="1"/>
        <v>0.07762557078</v>
      </c>
      <c r="J57" s="12">
        <f t="shared" si="2"/>
        <v>0.03246788813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10">
        <v>45856.0</v>
      </c>
      <c r="B58" s="8">
        <v>456.0</v>
      </c>
      <c r="C58" s="8">
        <v>464.0</v>
      </c>
      <c r="D58" s="8">
        <v>466.0</v>
      </c>
      <c r="E58" s="8">
        <v>450.0</v>
      </c>
      <c r="F58" s="8" t="s">
        <v>594</v>
      </c>
      <c r="G58" s="8" t="s">
        <v>279</v>
      </c>
      <c r="H58" s="8"/>
      <c r="I58" s="12">
        <f t="shared" si="1"/>
        <v>-0.03389830508</v>
      </c>
      <c r="J58" s="12">
        <f t="shared" si="2"/>
        <v>-0.01497715597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10">
        <v>45855.0</v>
      </c>
      <c r="B59" s="8">
        <v>462.0</v>
      </c>
      <c r="C59" s="8">
        <v>450.0</v>
      </c>
      <c r="D59" s="8">
        <v>476.0</v>
      </c>
      <c r="E59" s="8">
        <v>446.0</v>
      </c>
      <c r="F59" s="8" t="s">
        <v>595</v>
      </c>
      <c r="G59" s="8" t="s">
        <v>281</v>
      </c>
      <c r="H59" s="8"/>
      <c r="I59" s="12">
        <f t="shared" si="1"/>
        <v>0.01315789474</v>
      </c>
      <c r="J59" s="12">
        <f t="shared" si="2"/>
        <v>0.005677132892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10">
        <v>45854.0</v>
      </c>
      <c r="B60" s="8">
        <v>444.0</v>
      </c>
      <c r="C60" s="8">
        <v>434.0</v>
      </c>
      <c r="D60" s="8">
        <v>452.0</v>
      </c>
      <c r="E60" s="8">
        <v>434.0</v>
      </c>
      <c r="F60" s="8" t="s">
        <v>596</v>
      </c>
      <c r="G60" s="8" t="s">
        <v>597</v>
      </c>
      <c r="H60" s="8"/>
      <c r="I60" s="12">
        <f t="shared" si="1"/>
        <v>-0.03896103896</v>
      </c>
      <c r="J60" s="12">
        <f t="shared" si="2"/>
        <v>-0.01725900544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10">
        <v>45853.0</v>
      </c>
      <c r="B61" s="8">
        <v>438.0</v>
      </c>
      <c r="C61" s="8">
        <v>446.0</v>
      </c>
      <c r="D61" s="8">
        <v>448.0</v>
      </c>
      <c r="E61" s="8">
        <v>428.0</v>
      </c>
      <c r="F61" s="8" t="s">
        <v>598</v>
      </c>
      <c r="G61" s="8" t="s">
        <v>233</v>
      </c>
      <c r="H61" s="8"/>
      <c r="I61" s="12">
        <f t="shared" si="1"/>
        <v>-0.01351351351</v>
      </c>
      <c r="J61" s="12">
        <f t="shared" si="2"/>
        <v>-0.005908859611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10">
        <v>45852.0</v>
      </c>
      <c r="B62" s="8">
        <v>444.0</v>
      </c>
      <c r="C62" s="8">
        <v>444.0</v>
      </c>
      <c r="D62" s="8">
        <v>464.0</v>
      </c>
      <c r="E62" s="8">
        <v>438.0</v>
      </c>
      <c r="F62" s="8" t="s">
        <v>599</v>
      </c>
      <c r="G62" s="8" t="s">
        <v>589</v>
      </c>
      <c r="H62" s="8"/>
      <c r="I62" s="12">
        <f t="shared" si="1"/>
        <v>0.01369863014</v>
      </c>
      <c r="J62" s="12">
        <f t="shared" si="2"/>
        <v>0.005908859611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10">
        <v>45849.0</v>
      </c>
      <c r="B63" s="8">
        <v>440.0</v>
      </c>
      <c r="C63" s="8">
        <v>438.0</v>
      </c>
      <c r="D63" s="8">
        <v>446.0</v>
      </c>
      <c r="E63" s="8">
        <v>434.0</v>
      </c>
      <c r="F63" s="8" t="s">
        <v>600</v>
      </c>
      <c r="G63" s="8" t="s">
        <v>601</v>
      </c>
      <c r="H63" s="8"/>
      <c r="I63" s="12">
        <f t="shared" si="1"/>
        <v>-0.009009009009</v>
      </c>
      <c r="J63" s="12">
        <f t="shared" si="2"/>
        <v>-0.003930293628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10">
        <v>45848.0</v>
      </c>
      <c r="B64" s="8">
        <v>436.0</v>
      </c>
      <c r="C64" s="8">
        <v>436.0</v>
      </c>
      <c r="D64" s="8">
        <v>446.0</v>
      </c>
      <c r="E64" s="8">
        <v>434.0</v>
      </c>
      <c r="F64" s="8" t="s">
        <v>602</v>
      </c>
      <c r="G64" s="8" t="s">
        <v>603</v>
      </c>
      <c r="H64" s="8"/>
      <c r="I64" s="12">
        <f t="shared" si="1"/>
        <v>-0.009090909091</v>
      </c>
      <c r="J64" s="12">
        <f t="shared" si="2"/>
        <v>-0.003966187218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10">
        <v>45847.0</v>
      </c>
      <c r="B65" s="8">
        <v>434.0</v>
      </c>
      <c r="C65" s="8">
        <v>438.0</v>
      </c>
      <c r="D65" s="8">
        <v>440.0</v>
      </c>
      <c r="E65" s="8">
        <v>426.0</v>
      </c>
      <c r="F65" s="8" t="s">
        <v>604</v>
      </c>
      <c r="G65" s="8" t="s">
        <v>605</v>
      </c>
      <c r="H65" s="8"/>
      <c r="I65" s="12">
        <f t="shared" si="1"/>
        <v>-0.004587155963</v>
      </c>
      <c r="J65" s="12">
        <f t="shared" si="2"/>
        <v>-0.001996759756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10">
        <v>45846.0</v>
      </c>
      <c r="B66" s="8">
        <v>436.0</v>
      </c>
      <c r="C66" s="8">
        <v>436.0</v>
      </c>
      <c r="D66" s="8">
        <v>450.0</v>
      </c>
      <c r="E66" s="8">
        <v>434.0</v>
      </c>
      <c r="F66" s="8" t="s">
        <v>606</v>
      </c>
      <c r="G66" s="8" t="s">
        <v>31</v>
      </c>
      <c r="H66" s="8"/>
      <c r="I66" s="12">
        <f t="shared" si="1"/>
        <v>0.004608294931</v>
      </c>
      <c r="J66" s="12">
        <f t="shared" si="2"/>
        <v>0.001996759756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1.0527777777777778" footer="0.0" header="0.0" left="0.7875" right="0.7875" top="1.0527777777777778"/>
  <pageSetup paperSize="9" orientation="portrait"/>
  <headerFooter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6" width="9.0"/>
    <col customWidth="1" min="7" max="7" width="8.71"/>
    <col customWidth="1" min="8" max="8" width="9.0"/>
    <col customWidth="1" min="9" max="9" width="8.86"/>
    <col customWidth="1" min="10" max="10" width="12.71"/>
    <col customWidth="1" min="11" max="11" width="9.0"/>
    <col customWidth="1" min="12" max="13" width="12.71"/>
    <col customWidth="1" min="14" max="15" width="8.71"/>
    <col customWidth="1" min="16" max="16" width="12.71"/>
    <col customWidth="1" min="17" max="18" width="12.0"/>
    <col customWidth="1" min="19" max="26" width="8.71"/>
  </cols>
  <sheetData>
    <row r="1" ht="14.25" customHeight="1">
      <c r="A1" s="13" t="s">
        <v>484</v>
      </c>
      <c r="B1" s="14"/>
      <c r="C1" s="14"/>
      <c r="D1" s="14"/>
      <c r="E1" s="14"/>
      <c r="F1" s="15"/>
    </row>
    <row r="2" ht="14.25" customHeight="1">
      <c r="A2" s="16" t="s">
        <v>0</v>
      </c>
      <c r="B2" s="17" t="s">
        <v>485</v>
      </c>
      <c r="C2" s="18" t="s">
        <v>486</v>
      </c>
      <c r="D2" s="18" t="s">
        <v>487</v>
      </c>
      <c r="E2" s="18" t="s">
        <v>488</v>
      </c>
      <c r="F2" s="19" t="s">
        <v>489</v>
      </c>
      <c r="H2" s="20" t="s">
        <v>490</v>
      </c>
      <c r="I2" s="14"/>
      <c r="J2" s="14"/>
      <c r="K2" s="14"/>
      <c r="L2" s="14"/>
      <c r="M2" s="15"/>
      <c r="O2" s="21" t="s">
        <v>491</v>
      </c>
      <c r="P2" s="14"/>
      <c r="Q2" s="14"/>
      <c r="R2" s="15"/>
    </row>
    <row r="3" ht="14.25" customHeight="1">
      <c r="A3" s="22">
        <v>45847.0</v>
      </c>
      <c r="B3" s="23">
        <v>-0.001484768905691214</v>
      </c>
      <c r="C3" s="24">
        <v>0.007475132594878531</v>
      </c>
      <c r="D3" s="24">
        <v>0.00621912033493105</v>
      </c>
      <c r="E3" s="24">
        <v>0.006948859955327846</v>
      </c>
      <c r="F3" s="25">
        <v>-0.0019967597560750505</v>
      </c>
      <c r="H3" s="26"/>
      <c r="I3" s="26" t="s">
        <v>485</v>
      </c>
      <c r="J3" s="26" t="s">
        <v>486</v>
      </c>
      <c r="K3" s="26" t="s">
        <v>487</v>
      </c>
      <c r="L3" s="26" t="s">
        <v>488</v>
      </c>
      <c r="M3" s="27" t="s">
        <v>489</v>
      </c>
      <c r="O3" s="26" t="s">
        <v>492</v>
      </c>
      <c r="P3" s="28" t="s">
        <v>493</v>
      </c>
      <c r="Q3" s="29" t="s">
        <v>494</v>
      </c>
      <c r="R3" s="29" t="s">
        <v>495</v>
      </c>
    </row>
    <row r="4" ht="14.25" customHeight="1">
      <c r="A4" s="22">
        <v>45848.0</v>
      </c>
      <c r="B4" s="30">
        <v>0.010288336876011384</v>
      </c>
      <c r="C4" s="12">
        <v>0.004424090704829187</v>
      </c>
      <c r="D4" s="12">
        <v>0.0</v>
      </c>
      <c r="E4" s="12">
        <v>-0.0017268193005059995</v>
      </c>
      <c r="F4" s="31">
        <v>0.0019967597560750505</v>
      </c>
      <c r="H4" s="26" t="s">
        <v>485</v>
      </c>
      <c r="I4" s="23">
        <f>VARP(ANALISIS!$B$3:$B$66)</f>
        <v>0.0001952992622</v>
      </c>
      <c r="J4" s="24">
        <v>3.93410194037496E-5</v>
      </c>
      <c r="K4" s="24">
        <v>1.0869449659514616E-4</v>
      </c>
      <c r="L4" s="24">
        <v>1.8531698807399837E-5</v>
      </c>
      <c r="M4" s="25">
        <v>1.3063218516754806E-4</v>
      </c>
      <c r="O4" s="32" t="s">
        <v>485</v>
      </c>
      <c r="P4" s="23">
        <f>AVERAGE(B3:B66)</f>
        <v>0.0008683845805</v>
      </c>
      <c r="Q4" s="24">
        <f>_xlfn.STDEV.S(B3:B66)</f>
        <v>0.01408542688</v>
      </c>
      <c r="R4" s="25">
        <f t="shared" ref="R4:R8" si="1">P4/Q4</f>
        <v>0.06165127885</v>
      </c>
    </row>
    <row r="5" ht="14.25" customHeight="1">
      <c r="A5" s="22">
        <v>45849.0</v>
      </c>
      <c r="B5" s="30">
        <v>0.0</v>
      </c>
      <c r="C5" s="12">
        <v>0.0038950438835241297</v>
      </c>
      <c r="D5" s="12">
        <v>0.0</v>
      </c>
      <c r="E5" s="12">
        <v>0.0017268193005059995</v>
      </c>
      <c r="F5" s="31">
        <v>0.003966187217601558</v>
      </c>
      <c r="H5" s="26" t="s">
        <v>486</v>
      </c>
      <c r="I5" s="30">
        <v>3.93410194037496E-5</v>
      </c>
      <c r="J5" s="12">
        <f>VARP(ANALISIS!$C$3:$C$66)</f>
        <v>0.0000630610998</v>
      </c>
      <c r="K5" s="12">
        <v>1.607636399540303E-5</v>
      </c>
      <c r="L5" s="12">
        <v>1.3853546210915913E-5</v>
      </c>
      <c r="M5" s="31">
        <v>-1.297109979519224E-5</v>
      </c>
      <c r="O5" s="32" t="s">
        <v>486</v>
      </c>
      <c r="P5" s="30">
        <f>AVERAGE(C3:C66)</f>
        <v>0.001039308251</v>
      </c>
      <c r="Q5" s="12">
        <f>_xlfn.STDEV.S(C3:C66)</f>
        <v>0.008003878412</v>
      </c>
      <c r="R5" s="31">
        <f t="shared" si="1"/>
        <v>0.1298505796</v>
      </c>
    </row>
    <row r="6" ht="14.25" customHeight="1">
      <c r="A6" s="22">
        <v>45852.0</v>
      </c>
      <c r="B6" s="30">
        <v>0.005771440177875287</v>
      </c>
      <c r="C6" s="12">
        <v>0.0033797406513806916</v>
      </c>
      <c r="D6" s="12">
        <v>-0.004136169186638672</v>
      </c>
      <c r="E6" s="12">
        <v>-0.0034605321095064895</v>
      </c>
      <c r="F6" s="31">
        <v>0.003930293628432224</v>
      </c>
      <c r="H6" s="26" t="s">
        <v>487</v>
      </c>
      <c r="I6" s="30">
        <v>1.08694496595146E-4</v>
      </c>
      <c r="J6" s="12">
        <v>1.607636399540303E-5</v>
      </c>
      <c r="K6" s="12">
        <f>VARP(ANALISIS!$D$3:$D$66)</f>
        <v>0.0002573611982</v>
      </c>
      <c r="L6" s="12">
        <v>3.4293298818892534E-5</v>
      </c>
      <c r="M6" s="31">
        <v>1.1058624510302029E-4</v>
      </c>
      <c r="O6" s="32" t="s">
        <v>487</v>
      </c>
      <c r="P6" s="30">
        <f>AVERAGE(D3:D66)</f>
        <v>0.0006229923756</v>
      </c>
      <c r="Q6" s="12">
        <f>_xlfn.STDEV.S(D3:D66)</f>
        <v>0.01616930106</v>
      </c>
      <c r="R6" s="31">
        <f t="shared" si="1"/>
        <v>0.03852933243</v>
      </c>
    </row>
    <row r="7" ht="14.25" customHeight="1">
      <c r="A7" s="22">
        <v>45853.0</v>
      </c>
      <c r="B7" s="30">
        <v>-0.004321373782642524</v>
      </c>
      <c r="C7" s="12">
        <v>4.806801618575385E-4</v>
      </c>
      <c r="D7" s="12">
        <v>0.012292173804551387</v>
      </c>
      <c r="E7" s="12">
        <v>0.00173371280900049</v>
      </c>
      <c r="F7" s="31">
        <v>-0.005908859610519901</v>
      </c>
      <c r="H7" s="26" t="s">
        <v>488</v>
      </c>
      <c r="I7" s="30">
        <v>1.85316988073998E-5</v>
      </c>
      <c r="J7" s="12">
        <v>1.3853546210915913E-5</v>
      </c>
      <c r="K7" s="12">
        <v>3.4293298818892534E-5</v>
      </c>
      <c r="L7" s="12">
        <f>VARP(ANALISIS!$E$3:$E$66)</f>
        <v>0.0001154294874</v>
      </c>
      <c r="M7" s="31">
        <v>-5.848456797197092E-7</v>
      </c>
      <c r="O7" s="32" t="s">
        <v>488</v>
      </c>
      <c r="P7" s="30">
        <f>AVERAGE(E3:E66)</f>
        <v>0.001644303153</v>
      </c>
      <c r="Q7" s="12">
        <f>_xlfn.STDEV.S(E3:E66)</f>
        <v>0.01082874423</v>
      </c>
      <c r="R7" s="31">
        <f t="shared" si="1"/>
        <v>0.1518461531</v>
      </c>
    </row>
    <row r="8" ht="14.25" customHeight="1">
      <c r="A8" s="22">
        <v>45854.0</v>
      </c>
      <c r="B8" s="30">
        <v>-0.001450066395232763</v>
      </c>
      <c r="C8" s="12">
        <v>-4.806801618575385E-4</v>
      </c>
      <c r="D8" s="12">
        <v>-0.004058856476867656</v>
      </c>
      <c r="E8" s="12">
        <v>0.013626042600213703</v>
      </c>
      <c r="F8" s="31">
        <v>0.005908859610519901</v>
      </c>
      <c r="H8" s="26" t="s">
        <v>489</v>
      </c>
      <c r="I8" s="33">
        <v>1.30632185167548E-4</v>
      </c>
      <c r="J8" s="34">
        <v>-1.297109979519224E-5</v>
      </c>
      <c r="K8" s="34">
        <v>1.1058624510302029E-4</v>
      </c>
      <c r="L8" s="34">
        <v>-5.848456797197092E-7</v>
      </c>
      <c r="M8" s="35">
        <f>VARP(ANALISIS!$F$3:$F$66)</f>
        <v>0.0004513324239</v>
      </c>
      <c r="O8" s="32" t="s">
        <v>489</v>
      </c>
      <c r="P8" s="33">
        <f>AVERAGE(F3:F66)</f>
        <v>0.002389143754</v>
      </c>
      <c r="Q8" s="34">
        <f>_xlfn.STDEV.S(F3:F66)</f>
        <v>0.02141252976</v>
      </c>
      <c r="R8" s="35">
        <f t="shared" si="1"/>
        <v>0.1115769029</v>
      </c>
    </row>
    <row r="9" ht="14.25" customHeight="1">
      <c r="A9" s="22">
        <v>45855.0</v>
      </c>
      <c r="B9" s="30">
        <v>0.0028953072694136717</v>
      </c>
      <c r="C9" s="12">
        <v>4.806801618575385E-4</v>
      </c>
      <c r="D9" s="12">
        <v>0.01601267024637304</v>
      </c>
      <c r="E9" s="12">
        <v>0.009946109855556023</v>
      </c>
      <c r="F9" s="31">
        <v>0.017259005441506048</v>
      </c>
    </row>
    <row r="10" ht="14.25" customHeight="1">
      <c r="A10" s="22">
        <v>45856.0</v>
      </c>
      <c r="B10" s="30">
        <v>-0.0058100462766309535</v>
      </c>
      <c r="C10" s="12">
        <v>-0.002408738742134542</v>
      </c>
      <c r="D10" s="12">
        <v>0.03942309229532054</v>
      </c>
      <c r="E10" s="12">
        <v>-0.008272525965989846</v>
      </c>
      <c r="F10" s="31">
        <v>-0.005677132891690917</v>
      </c>
      <c r="H10" s="36"/>
      <c r="I10" s="36"/>
      <c r="J10" s="36"/>
      <c r="K10" s="36"/>
      <c r="L10" s="36"/>
      <c r="M10" s="36"/>
    </row>
    <row r="11" ht="14.25" customHeight="1">
      <c r="A11" s="22">
        <v>45859.0</v>
      </c>
      <c r="B11" s="30">
        <v>0.03103423373996872</v>
      </c>
      <c r="C11" s="12">
        <v>0.009082989468013558</v>
      </c>
      <c r="D11" s="12">
        <v>0.005350718384101227</v>
      </c>
      <c r="E11" s="12">
        <v>-0.005040224639523472</v>
      </c>
      <c r="F11" s="31">
        <v>0.01497715596965321</v>
      </c>
      <c r="H11" s="37"/>
      <c r="M11" s="37"/>
    </row>
    <row r="12" ht="14.25" customHeight="1">
      <c r="A12" s="22">
        <v>45860.0</v>
      </c>
      <c r="B12" s="30">
        <v>-0.03249897199824253</v>
      </c>
      <c r="C12" s="12">
        <v>0.0018882398523869526</v>
      </c>
      <c r="D12" s="12">
        <v>-0.019950226954389694</v>
      </c>
      <c r="E12" s="12">
        <v>-0.008532582549750409</v>
      </c>
      <c r="F12" s="31">
        <v>-0.03246788812998824</v>
      </c>
      <c r="H12" s="37"/>
      <c r="M12" s="37"/>
    </row>
    <row r="13" ht="14.25" customHeight="1">
      <c r="A13" s="22">
        <v>45861.0</v>
      </c>
      <c r="B13" s="30">
        <v>0.011581872549815186</v>
      </c>
      <c r="C13" s="12">
        <v>0.017540311985938972</v>
      </c>
      <c r="D13" s="12">
        <v>0.018173968928586637</v>
      </c>
      <c r="E13" s="12">
        <v>0.003433175838393962</v>
      </c>
      <c r="F13" s="31">
        <v>0.003948158844992111</v>
      </c>
      <c r="H13" s="37"/>
      <c r="M13" s="37"/>
    </row>
    <row r="14" ht="14.25" customHeight="1">
      <c r="A14" s="22">
        <v>45862.0</v>
      </c>
      <c r="B14" s="30">
        <v>-0.0014309551064488057</v>
      </c>
      <c r="C14" s="12">
        <v>0.004052544011197146</v>
      </c>
      <c r="D14" s="12">
        <v>-0.0035744603582981704</v>
      </c>
      <c r="E14" s="12">
        <v>0.005099406711356447</v>
      </c>
      <c r="F14" s="31">
        <v>-0.007932539836581043</v>
      </c>
      <c r="H14" s="37"/>
      <c r="M14" s="37"/>
    </row>
    <row r="15" ht="14.25" customHeight="1">
      <c r="A15" s="22">
        <v>45863.0</v>
      </c>
      <c r="B15" s="30">
        <v>-0.008686179185092568</v>
      </c>
      <c r="C15" s="12">
        <v>-0.0067754023466704005</v>
      </c>
      <c r="D15" s="12">
        <v>-0.009067019970327383</v>
      </c>
      <c r="E15" s="12">
        <v>-0.011993114659256898</v>
      </c>
      <c r="F15" s="31">
        <v>-0.024705872792775363</v>
      </c>
      <c r="H15" s="37"/>
      <c r="I15" s="37"/>
      <c r="J15" s="37"/>
      <c r="K15" s="37"/>
      <c r="L15" s="37"/>
      <c r="M15" s="37"/>
      <c r="R15" s="38"/>
    </row>
    <row r="16" ht="14.25" customHeight="1">
      <c r="A16" s="22">
        <v>45866.0</v>
      </c>
      <c r="B16" s="30">
        <v>0.0</v>
      </c>
      <c r="C16" s="12">
        <v>0.005878099378906709</v>
      </c>
      <c r="D16" s="12">
        <v>0.038551418071147925</v>
      </c>
      <c r="E16" s="12">
        <v>0.0068937079479004515</v>
      </c>
      <c r="F16" s="31">
        <v>0.0</v>
      </c>
    </row>
    <row r="17" ht="14.25" customHeight="1">
      <c r="A17" s="22">
        <v>45867.0</v>
      </c>
      <c r="B17" s="30">
        <v>0.004364805402450045</v>
      </c>
      <c r="C17" s="12">
        <v>-4.4934766750848176E-4</v>
      </c>
      <c r="D17" s="12">
        <v>0.008304162788579261</v>
      </c>
      <c r="E17" s="12">
        <v>0.016770210249893017</v>
      </c>
      <c r="F17" s="31">
        <v>0.010465433678164882</v>
      </c>
      <c r="H17" s="37"/>
      <c r="I17" s="37"/>
      <c r="J17" s="37"/>
      <c r="K17" s="37"/>
      <c r="L17" s="37"/>
    </row>
    <row r="18" ht="14.25" customHeight="1">
      <c r="A18" s="22">
        <v>45868.0</v>
      </c>
      <c r="B18" s="30">
        <v>-0.001450066395232763</v>
      </c>
      <c r="C18" s="12">
        <v>0.004027489283043639</v>
      </c>
      <c r="D18" s="12">
        <v>-0.015063746435875935</v>
      </c>
      <c r="E18" s="12">
        <v>0.0016419470669767483</v>
      </c>
      <c r="F18" s="31">
        <v>-0.010465433678164882</v>
      </c>
      <c r="H18" s="37"/>
      <c r="L18" s="37"/>
    </row>
    <row r="19" ht="14.25" customHeight="1">
      <c r="A19" s="22">
        <v>45869.0</v>
      </c>
      <c r="B19" s="30">
        <v>-0.020826328315919462</v>
      </c>
      <c r="C19" s="12">
        <v>-0.004027489283043639</v>
      </c>
      <c r="D19" s="12">
        <v>-0.03362817746384855</v>
      </c>
      <c r="E19" s="12">
        <v>-0.013312750605513318</v>
      </c>
      <c r="F19" s="31">
        <v>-0.0021236936298554276</v>
      </c>
      <c r="H19" s="37"/>
      <c r="L19" s="37"/>
    </row>
    <row r="20" ht="14.25" customHeight="1">
      <c r="A20" s="22">
        <v>45870.0</v>
      </c>
      <c r="B20" s="30">
        <v>0.004547627750720651</v>
      </c>
      <c r="C20" s="12">
        <v>-0.0022537387469478976</v>
      </c>
      <c r="D20" s="12">
        <v>0.016254081394425912</v>
      </c>
      <c r="E20" s="12">
        <v>-0.02076703896676202</v>
      </c>
      <c r="F20" s="31">
        <v>-0.008600171761917519</v>
      </c>
      <c r="H20" s="37"/>
      <c r="L20" s="37"/>
    </row>
    <row r="21" ht="14.25" customHeight="1">
      <c r="A21" s="22">
        <v>45873.0</v>
      </c>
      <c r="B21" s="30">
        <v>0.0045005012266764455</v>
      </c>
      <c r="C21" s="12">
        <v>0.008502688023949379</v>
      </c>
      <c r="D21" s="12">
        <v>-0.016254081394425912</v>
      </c>
      <c r="E21" s="12">
        <v>-0.007149041789664079</v>
      </c>
      <c r="F21" s="31">
        <v>0.0</v>
      </c>
      <c r="H21" s="37"/>
      <c r="I21" s="37"/>
      <c r="J21" s="37"/>
      <c r="K21" s="37"/>
      <c r="L21" s="37"/>
    </row>
    <row r="22" ht="14.25" customHeight="1">
      <c r="A22" s="22">
        <v>45874.0</v>
      </c>
      <c r="B22" s="30">
        <v>0.0044543414262499526</v>
      </c>
      <c r="C22" s="12">
        <v>-0.0026671188138791546</v>
      </c>
      <c r="D22" s="12">
        <v>-0.005556081944087576</v>
      </c>
      <c r="E22" s="12">
        <v>-0.010949180303132133</v>
      </c>
      <c r="F22" s="31">
        <v>0.0</v>
      </c>
    </row>
    <row r="23" ht="14.25" customHeight="1">
      <c r="A23" s="22">
        <v>45875.0</v>
      </c>
      <c r="B23" s="30">
        <v>0.020203386088287034</v>
      </c>
      <c r="C23" s="12">
        <v>-0.005383884840802544</v>
      </c>
      <c r="D23" s="12">
        <v>0.012855320685587035</v>
      </c>
      <c r="E23" s="12">
        <v>0.0</v>
      </c>
      <c r="F23" s="31">
        <v>0.025305865264769967</v>
      </c>
    </row>
    <row r="24" ht="14.25" customHeight="1">
      <c r="A24" s="22">
        <v>45876.0</v>
      </c>
      <c r="B24" s="30">
        <v>0.009759837289156192</v>
      </c>
      <c r="C24" s="12">
        <v>9.019618650176753E-4</v>
      </c>
      <c r="D24" s="12">
        <v>0.01598810538413037</v>
      </c>
      <c r="E24" s="12">
        <v>0.023383818554479976</v>
      </c>
      <c r="F24" s="31">
        <v>0.0</v>
      </c>
    </row>
    <row r="25" ht="14.25" customHeight="1">
      <c r="A25" s="22">
        <v>45877.0</v>
      </c>
      <c r="B25" s="30">
        <v>-0.008352074364765871</v>
      </c>
      <c r="C25" s="12">
        <v>9.000925126625425E-4</v>
      </c>
      <c r="D25" s="12">
        <v>-0.0035023938360706497</v>
      </c>
      <c r="E25" s="12">
        <v>-0.012434638251347843</v>
      </c>
      <c r="F25" s="31">
        <v>-0.004116566194832139</v>
      </c>
    </row>
    <row r="26" ht="14.25" customHeight="1">
      <c r="A26" s="22">
        <v>45880.0</v>
      </c>
      <c r="B26" s="30">
        <v>-0.021611149012677355</v>
      </c>
      <c r="C26" s="12">
        <v>0.002242103492511527</v>
      </c>
      <c r="D26" s="12">
        <v>-0.01429905231152806</v>
      </c>
      <c r="E26" s="12">
        <v>0.012434638251347843</v>
      </c>
      <c r="F26" s="31">
        <v>-0.010465433678164882</v>
      </c>
    </row>
    <row r="27" ht="14.25" customHeight="1">
      <c r="A27" s="22">
        <v>45881.0</v>
      </c>
      <c r="B27" s="30">
        <v>-0.005949332513201178</v>
      </c>
      <c r="C27" s="12">
        <v>-0.0013438725996111067</v>
      </c>
      <c r="D27" s="12">
        <v>-0.02046305394768394</v>
      </c>
      <c r="E27" s="12">
        <v>-0.007061854487486849</v>
      </c>
      <c r="F27" s="31">
        <v>-0.010723865391772947</v>
      </c>
    </row>
    <row r="28" ht="14.25" customHeight="1">
      <c r="A28" s="22">
        <v>45882.0</v>
      </c>
      <c r="B28" s="30">
        <v>0.001494991086951225</v>
      </c>
      <c r="C28" s="12">
        <v>-0.0036041242688253927</v>
      </c>
      <c r="D28" s="12">
        <v>0.0</v>
      </c>
      <c r="E28" s="12">
        <v>0.014010714442814695</v>
      </c>
      <c r="F28" s="31">
        <v>0.01703333929878026</v>
      </c>
    </row>
    <row r="29" ht="14.25" customHeight="1">
      <c r="A29" s="22">
        <v>45883.0</v>
      </c>
      <c r="B29" s="30">
        <v>-0.0029951462293594244</v>
      </c>
      <c r="C29" s="12">
        <v>0.0031552410434334544</v>
      </c>
      <c r="D29" s="12">
        <v>-0.0019089898073310074</v>
      </c>
      <c r="E29" s="12">
        <v>-0.01223445641701161</v>
      </c>
      <c r="F29" s="31">
        <v>-0.0063094739070073125</v>
      </c>
    </row>
    <row r="30" ht="14.25" customHeight="1">
      <c r="A30" s="22">
        <v>45884.0</v>
      </c>
      <c r="B30" s="30">
        <v>0.0015001551424081994</v>
      </c>
      <c r="C30" s="12">
        <v>-0.0031552410434334544</v>
      </c>
      <c r="D30" s="12">
        <v>-0.009672882742484068</v>
      </c>
      <c r="E30" s="12">
        <v>0.0</v>
      </c>
      <c r="F30" s="31">
        <v>0.002113359313399066</v>
      </c>
    </row>
    <row r="31" ht="14.25" customHeight="1">
      <c r="A31" s="22">
        <v>45888.0</v>
      </c>
      <c r="B31" s="30">
        <v>-0.013691677993876161</v>
      </c>
      <c r="C31" s="12">
        <v>-0.005921254036294954</v>
      </c>
      <c r="D31" s="12">
        <v>0.01725900544150566</v>
      </c>
      <c r="E31" s="12">
        <v>0.0</v>
      </c>
      <c r="F31" s="31">
        <v>0.03248575408148513</v>
      </c>
    </row>
    <row r="32" ht="14.25" customHeight="1">
      <c r="A32" s="22">
        <v>45889.0</v>
      </c>
      <c r="B32" s="30">
        <v>0.004612020141957718</v>
      </c>
      <c r="C32" s="12">
        <v>0.013099838663418462</v>
      </c>
      <c r="D32" s="12">
        <v>0.0018760049987552874</v>
      </c>
      <c r="E32" s="12">
        <v>-0.01441773835442861</v>
      </c>
      <c r="F32" s="31">
        <v>-0.0019607007655277897</v>
      </c>
    </row>
    <row r="33" ht="14.25" customHeight="1">
      <c r="A33" s="22">
        <v>45890.0</v>
      </c>
      <c r="B33" s="30">
        <v>-0.0015319045227473738</v>
      </c>
      <c r="C33" s="12">
        <v>0.02422987962450085</v>
      </c>
      <c r="D33" s="12">
        <v>-0.007553137890445871</v>
      </c>
      <c r="E33" s="12">
        <v>0.0054628957015021296</v>
      </c>
      <c r="F33" s="31">
        <v>-0.01397850033591963</v>
      </c>
    </row>
    <row r="34" ht="14.25" customHeight="1">
      <c r="A34" s="22">
        <v>45891.0</v>
      </c>
      <c r="B34" s="30">
        <v>-0.0015373272049292175</v>
      </c>
      <c r="C34" s="12">
        <v>0.0</v>
      </c>
      <c r="D34" s="12">
        <v>0.0</v>
      </c>
      <c r="E34" s="12">
        <v>0.014240439114610245</v>
      </c>
      <c r="F34" s="31">
        <v>-0.006131318051498358</v>
      </c>
    </row>
    <row r="35" ht="14.25" customHeight="1">
      <c r="A35" s="22">
        <v>45894.0</v>
      </c>
      <c r="B35" s="30">
        <v>0.007632788414631275</v>
      </c>
      <c r="C35" s="12">
        <v>-0.009788531054282013</v>
      </c>
      <c r="D35" s="12">
        <v>-0.0038264078530528822</v>
      </c>
      <c r="E35" s="12">
        <v>0.0</v>
      </c>
      <c r="F35" s="31">
        <v>0.03365239170276091</v>
      </c>
    </row>
    <row r="36" ht="14.25" customHeight="1">
      <c r="A36" s="22">
        <v>45895.0</v>
      </c>
      <c r="B36" s="30">
        <v>0.001510591025238539</v>
      </c>
      <c r="C36" s="12">
        <v>-0.010896067805569176</v>
      </c>
      <c r="D36" s="12">
        <v>-0.005803576099240204</v>
      </c>
      <c r="E36" s="12">
        <v>-0.005285596461683764</v>
      </c>
      <c r="F36" s="31">
        <v>-0.01354257331534292</v>
      </c>
    </row>
    <row r="37" ht="14.25" customHeight="1">
      <c r="A37" s="22">
        <v>45896.0</v>
      </c>
      <c r="B37" s="30">
        <v>0.011899223299707717</v>
      </c>
      <c r="C37" s="12">
        <v>0.007004901568658628</v>
      </c>
      <c r="D37" s="12">
        <v>0.030093037899977026</v>
      </c>
      <c r="E37" s="12">
        <v>-0.005350718384101227</v>
      </c>
      <c r="F37" s="31">
        <v>-0.0019695928629044346</v>
      </c>
    </row>
    <row r="38" ht="14.25" customHeight="1">
      <c r="A38" s="22">
        <v>45897.0</v>
      </c>
      <c r="B38" s="30">
        <v>0.0029245530173166445</v>
      </c>
      <c r="C38" s="12">
        <v>-0.005682847330363394</v>
      </c>
      <c r="D38" s="12">
        <v>0.02127582053290039</v>
      </c>
      <c r="E38" s="12">
        <v>-0.005417465032293553</v>
      </c>
      <c r="F38" s="31">
        <v>0.09691001300805624</v>
      </c>
    </row>
    <row r="39" ht="14.25" customHeight="1">
      <c r="A39" s="22">
        <v>45898.0</v>
      </c>
      <c r="B39" s="30">
        <v>0.008657319532498542</v>
      </c>
      <c r="C39" s="12">
        <v>-0.004867335002944895</v>
      </c>
      <c r="D39" s="12">
        <v>-0.0069767682213723314</v>
      </c>
      <c r="E39" s="12">
        <v>-0.011041979922118722</v>
      </c>
      <c r="F39" s="31">
        <v>0.05202900000401023</v>
      </c>
    </row>
    <row r="40" ht="14.25" customHeight="1">
      <c r="A40" s="22">
        <v>45901.0</v>
      </c>
      <c r="B40" s="30">
        <v>0.02227639471115228</v>
      </c>
      <c r="C40" s="12">
        <v>0.001332874136446005</v>
      </c>
      <c r="D40" s="12">
        <v>0.0035023938360706497</v>
      </c>
      <c r="E40" s="12">
        <v>-0.011330063832896267</v>
      </c>
      <c r="F40" s="31">
        <v>-0.017874723769704115</v>
      </c>
    </row>
    <row r="41" ht="14.25" customHeight="1">
      <c r="A41" s="22">
        <v>45902.0</v>
      </c>
      <c r="B41" s="30">
        <v>0.03517949647096774</v>
      </c>
      <c r="C41" s="12">
        <v>0.024577063606076477</v>
      </c>
      <c r="D41" s="12">
        <v>0.013733776235558104</v>
      </c>
      <c r="E41" s="12">
        <v>0.03314022717140977</v>
      </c>
      <c r="F41" s="31">
        <v>0.0036342846550936336</v>
      </c>
    </row>
    <row r="42" ht="14.25" customHeight="1">
      <c r="A42" s="22">
        <v>45903.0</v>
      </c>
      <c r="B42" s="30">
        <v>0.001249769155707181</v>
      </c>
      <c r="C42" s="12">
        <v>-0.005059798769402324</v>
      </c>
      <c r="D42" s="12">
        <v>-0.0033929428973393794</v>
      </c>
      <c r="E42" s="12">
        <v>0.008773924307505121</v>
      </c>
      <c r="F42" s="31">
        <v>0.00717858462712373</v>
      </c>
    </row>
    <row r="43" ht="14.25" customHeight="1">
      <c r="A43" s="22">
        <v>45904.0</v>
      </c>
      <c r="B43" s="30">
        <v>-0.011379545743498753</v>
      </c>
      <c r="C43" s="12">
        <v>-0.004262001642494795</v>
      </c>
      <c r="D43" s="12">
        <v>0.011761110885790349</v>
      </c>
      <c r="E43" s="12">
        <v>0.0</v>
      </c>
      <c r="F43" s="31">
        <v>-0.03328138719132845</v>
      </c>
    </row>
    <row r="44" ht="14.25" customHeight="1">
      <c r="A44" s="22">
        <v>45908.0</v>
      </c>
      <c r="B44" s="30">
        <v>0.02730750370257573</v>
      </c>
      <c r="C44" s="12">
        <v>0.01844771270184986</v>
      </c>
      <c r="D44" s="12">
        <v>0.0033026355500855864</v>
      </c>
      <c r="E44" s="12">
        <v>-0.0123337350737254</v>
      </c>
      <c r="F44" s="31">
        <v>0.015107418262741756</v>
      </c>
    </row>
    <row r="45" ht="14.25" customHeight="1">
      <c r="A45" s="22">
        <v>45909.0</v>
      </c>
      <c r="B45" s="30">
        <v>0.005973883488752718</v>
      </c>
      <c r="C45" s="12">
        <v>0.012143227662994027</v>
      </c>
      <c r="D45" s="12">
        <v>0.009759837289156303</v>
      </c>
      <c r="E45" s="12">
        <v>0.00532883350506691</v>
      </c>
      <c r="F45" s="31">
        <v>-0.011281010409688985</v>
      </c>
    </row>
    <row r="46" ht="14.25" customHeight="1">
      <c r="A46" s="22">
        <v>45910.0</v>
      </c>
      <c r="B46" s="30">
        <v>-0.01817396892858658</v>
      </c>
      <c r="C46" s="12">
        <v>-0.013788284485633184</v>
      </c>
      <c r="D46" s="12">
        <v>-0.016390416188169388</v>
      </c>
      <c r="E46" s="12">
        <v>0.0</v>
      </c>
      <c r="F46" s="31">
        <v>-0.027521073651262995</v>
      </c>
    </row>
    <row r="47" ht="14.25" customHeight="1">
      <c r="A47" s="22">
        <v>45911.0</v>
      </c>
      <c r="B47" s="30">
        <v>-0.015107418262741867</v>
      </c>
      <c r="C47" s="12">
        <v>0.002874773024812649</v>
      </c>
      <c r="D47" s="12">
        <v>-0.01703333929878037</v>
      </c>
      <c r="E47" s="12">
        <v>-0.0035452807646497164</v>
      </c>
      <c r="F47" s="31">
        <v>-0.012350438386429463</v>
      </c>
    </row>
    <row r="48" ht="14.25" customHeight="1">
      <c r="A48" s="22">
        <v>45912.0</v>
      </c>
      <c r="B48" s="30">
        <v>0.012625728756097687</v>
      </c>
      <c r="C48" s="12">
        <v>-8.194237938554672E-4</v>
      </c>
      <c r="D48" s="12">
        <v>0.005180512503780266</v>
      </c>
      <c r="E48" s="12">
        <v>0.0035452807646497164</v>
      </c>
      <c r="F48" s="31">
        <v>0.04366450105483155</v>
      </c>
    </row>
    <row r="49" ht="14.25" customHeight="1">
      <c r="A49" s="22">
        <v>45915.0</v>
      </c>
      <c r="B49" s="30">
        <v>0.0</v>
      </c>
      <c r="C49" s="12">
        <v>-0.0028802202897648677</v>
      </c>
      <c r="D49" s="12">
        <v>-0.0017199803942737901</v>
      </c>
      <c r="E49" s="12">
        <v>0.005264239992357256</v>
      </c>
      <c r="F49" s="31">
        <v>-0.0037929890171390923</v>
      </c>
    </row>
    <row r="50" ht="14.25" customHeight="1">
      <c r="A50" s="22">
        <v>45916.0</v>
      </c>
      <c r="B50" s="30">
        <v>0.013477073808107365</v>
      </c>
      <c r="C50" s="12">
        <v>0.006555512874817371</v>
      </c>
      <c r="D50" s="12">
        <v>0.003433175838393976</v>
      </c>
      <c r="E50" s="12">
        <v>0.018774000875081603</v>
      </c>
      <c r="F50" s="31">
        <v>-0.003826407853052771</v>
      </c>
    </row>
    <row r="51" ht="14.25" customHeight="1">
      <c r="A51" s="22">
        <v>45917.0</v>
      </c>
      <c r="B51" s="30">
        <v>-0.01722640197451064</v>
      </c>
      <c r="C51" s="12">
        <v>0.0048525027944121835</v>
      </c>
      <c r="D51" s="12">
        <v>-0.008634369524201657</v>
      </c>
      <c r="E51" s="12">
        <v>0.006630578899013098</v>
      </c>
      <c r="F51" s="31">
        <v>-0.019654687996470077</v>
      </c>
    </row>
    <row r="52" ht="14.25" customHeight="1">
      <c r="A52" s="22">
        <v>45918.0</v>
      </c>
      <c r="B52" s="30">
        <v>-0.00504999273664164</v>
      </c>
      <c r="C52" s="12">
        <v>-0.009759837289156303</v>
      </c>
      <c r="D52" s="12">
        <v>-0.021451001085632526</v>
      </c>
      <c r="E52" s="12">
        <v>-0.01167080353853657</v>
      </c>
      <c r="F52" s="31">
        <v>-0.012234456417011597</v>
      </c>
    </row>
    <row r="53" ht="14.25" customHeight="1">
      <c r="A53" s="22">
        <v>45919.0</v>
      </c>
      <c r="B53" s="30">
        <v>0.0037929890171392033</v>
      </c>
      <c r="C53" s="12">
        <v>0.005719859487416157</v>
      </c>
      <c r="D53" s="12">
        <v>0.0018286110464080796</v>
      </c>
      <c r="E53" s="12">
        <v>0.003366640749957295</v>
      </c>
      <c r="F53" s="31">
        <v>0.0</v>
      </c>
    </row>
    <row r="54" ht="14.25" customHeight="1">
      <c r="A54" s="22">
        <v>45922.0</v>
      </c>
      <c r="B54" s="30">
        <v>0.016063931570600154</v>
      </c>
      <c r="C54" s="12">
        <v>0.0</v>
      </c>
      <c r="D54" s="12">
        <v>0.024823583725032128</v>
      </c>
      <c r="E54" s="12">
        <v>0.006655984408506038</v>
      </c>
      <c r="F54" s="31">
        <v>0.020203386088286646</v>
      </c>
    </row>
    <row r="55" ht="14.25" customHeight="1">
      <c r="A55" s="22">
        <v>45923.0</v>
      </c>
      <c r="B55" s="30">
        <v>0.010783037608214974</v>
      </c>
      <c r="C55" s="12">
        <v>0.0072451176769514625</v>
      </c>
      <c r="D55" s="12">
        <v>-0.012234456417011597</v>
      </c>
      <c r="E55" s="12">
        <v>-0.0016544571700123772</v>
      </c>
      <c r="F55" s="31">
        <v>0.0155121661782478</v>
      </c>
    </row>
    <row r="56" ht="14.25" customHeight="1">
      <c r="A56" s="22">
        <v>45924.0</v>
      </c>
      <c r="B56" s="30">
        <v>-0.02433658946121553</v>
      </c>
      <c r="C56" s="12">
        <v>-0.008871690671607535</v>
      </c>
      <c r="D56" s="12">
        <v>-0.031231237364078734</v>
      </c>
      <c r="E56" s="12">
        <v>0.0016544571700123772</v>
      </c>
      <c r="F56" s="31">
        <v>-0.027521073651262995</v>
      </c>
    </row>
    <row r="57" ht="14.25" customHeight="1">
      <c r="A57" s="22">
        <v>45925.0</v>
      </c>
      <c r="B57" s="30">
        <v>-0.039270212573122354</v>
      </c>
      <c r="C57" s="12">
        <v>4.072147339164722E-4</v>
      </c>
      <c r="D57" s="12">
        <v>-0.04196450154353604</v>
      </c>
      <c r="E57" s="12">
        <v>0.006555512874817357</v>
      </c>
      <c r="F57" s="31">
        <v>-0.012350438386429463</v>
      </c>
    </row>
    <row r="58" ht="14.25" customHeight="1">
      <c r="A58" s="22">
        <v>45926.0</v>
      </c>
      <c r="B58" s="30">
        <v>0.005445770187120669</v>
      </c>
      <c r="C58" s="12">
        <v>-0.0053238085479421215</v>
      </c>
      <c r="D58" s="12">
        <v>0.03038262899372096</v>
      </c>
      <c r="E58" s="12">
        <v>0.004852502794412128</v>
      </c>
      <c r="F58" s="31">
        <v>0.020393158641843545</v>
      </c>
    </row>
    <row r="59" ht="14.25" customHeight="1">
      <c r="A59" s="22">
        <v>45929.0</v>
      </c>
      <c r="B59" s="30">
        <v>0.012008907473015307</v>
      </c>
      <c r="C59" s="12">
        <v>0.009375092421453735</v>
      </c>
      <c r="D59" s="12">
        <v>-0.003930293628432391</v>
      </c>
      <c r="E59" s="12">
        <v>0.011116004905461219</v>
      </c>
      <c r="F59" s="31">
        <v>0.023271342412988005</v>
      </c>
    </row>
    <row r="60" ht="14.25" customHeight="1">
      <c r="A60" s="22">
        <v>45930.0</v>
      </c>
      <c r="B60" s="30">
        <v>-0.018826857259483576</v>
      </c>
      <c r="C60" s="12">
        <v>-0.002426232466125944</v>
      </c>
      <c r="D60" s="12">
        <v>-0.018140225524513665</v>
      </c>
      <c r="E60" s="12">
        <v>-0.004729206244060563</v>
      </c>
      <c r="F60" s="31">
        <v>-0.015374861566954223</v>
      </c>
    </row>
    <row r="61" ht="14.25" customHeight="1">
      <c r="A61" s="22">
        <v>45931.0</v>
      </c>
      <c r="B61" s="30">
        <v>0.006817949786468269</v>
      </c>
      <c r="C61" s="12">
        <v>-0.011921751868350094</v>
      </c>
      <c r="D61" s="12">
        <v>-0.010415234928539185</v>
      </c>
      <c r="E61" s="12">
        <v>0.007853640453209576</v>
      </c>
      <c r="F61" s="31">
        <v>0.015374861566954223</v>
      </c>
    </row>
    <row r="62" ht="14.25" customHeight="1">
      <c r="A62" s="22">
        <v>45932.0</v>
      </c>
      <c r="B62" s="30">
        <v>-0.013744643378034604</v>
      </c>
      <c r="C62" s="12">
        <v>0.0016639655677497256</v>
      </c>
      <c r="D62" s="12">
        <v>0.01246864055959801</v>
      </c>
      <c r="E62" s="12">
        <v>0.0077141367734401</v>
      </c>
      <c r="F62" s="31">
        <v>-0.0037929890171390923</v>
      </c>
    </row>
    <row r="63" ht="14.25" customHeight="1">
      <c r="A63" s="22">
        <v>45933.0</v>
      </c>
      <c r="B63" s="30">
        <v>0.012389589293068548</v>
      </c>
      <c r="C63" s="12">
        <v>0.005774180733514989</v>
      </c>
      <c r="D63" s="12">
        <v>0.0</v>
      </c>
      <c r="E63" s="12">
        <v>0.02812428845526732</v>
      </c>
      <c r="F63" s="31">
        <v>-0.011581872549815131</v>
      </c>
    </row>
    <row r="64" ht="14.25" customHeight="1">
      <c r="A64" s="22">
        <v>45936.0</v>
      </c>
      <c r="B64" s="30">
        <v>-0.0013592952627249355</v>
      </c>
      <c r="C64" s="12">
        <v>-0.0016419470669768454</v>
      </c>
      <c r="D64" s="12">
        <v>0.002043742509986235</v>
      </c>
      <c r="E64" s="12">
        <v>0.0</v>
      </c>
      <c r="F64" s="31">
        <v>0.037462391529792693</v>
      </c>
    </row>
    <row r="65" ht="14.25" customHeight="1">
      <c r="A65" s="22">
        <v>45937.0</v>
      </c>
      <c r="B65" s="30">
        <v>-0.006861034983966174</v>
      </c>
      <c r="C65" s="12">
        <v>-0.013363961557981474</v>
      </c>
      <c r="D65" s="12">
        <v>0.02186841489542518</v>
      </c>
      <c r="E65" s="12">
        <v>0.023707349817601003</v>
      </c>
      <c r="F65" s="31">
        <v>-0.014599508570288577</v>
      </c>
    </row>
    <row r="66" ht="14.25" customHeight="1">
      <c r="A66" s="39">
        <v>45938.0</v>
      </c>
      <c r="B66" s="33">
        <v>0.02551458543310492</v>
      </c>
      <c r="C66" s="34">
        <v>-0.00727048608619385</v>
      </c>
      <c r="D66" s="34">
        <v>0.00768682866629089</v>
      </c>
      <c r="E66" s="34">
        <v>-0.005462895701502157</v>
      </c>
      <c r="F66" s="35">
        <v>0.025235823416073444</v>
      </c>
    </row>
    <row r="67" ht="14.25" customHeight="1">
      <c r="A67" s="10"/>
      <c r="F67" s="8"/>
    </row>
    <row r="68" ht="14.25" customHeight="1">
      <c r="A68" s="10"/>
      <c r="F68" s="8"/>
    </row>
    <row r="69" ht="14.25" customHeight="1">
      <c r="A69" s="10"/>
      <c r="F69" s="8"/>
    </row>
    <row r="70" ht="14.25" customHeight="1">
      <c r="A70" s="10"/>
      <c r="F70" s="8"/>
    </row>
    <row r="71" ht="14.25" customHeight="1">
      <c r="A71" s="10"/>
      <c r="F71" s="8"/>
    </row>
    <row r="72" ht="14.25" customHeight="1">
      <c r="A72" s="10"/>
      <c r="F72" s="8"/>
    </row>
    <row r="73" ht="14.25" customHeight="1">
      <c r="A73" s="10"/>
      <c r="F73" s="8"/>
    </row>
    <row r="74" ht="14.25" customHeight="1">
      <c r="A74" s="10"/>
      <c r="F74" s="8"/>
    </row>
    <row r="75" ht="14.25" customHeight="1">
      <c r="A75" s="10"/>
      <c r="F75" s="8"/>
    </row>
    <row r="76" ht="14.25" customHeight="1">
      <c r="A76" s="10"/>
      <c r="F76" s="8"/>
    </row>
    <row r="77" ht="14.25" customHeight="1">
      <c r="A77" s="10"/>
      <c r="F77" s="8"/>
    </row>
    <row r="78" ht="14.25" customHeight="1">
      <c r="A78" s="10"/>
      <c r="F78" s="8"/>
    </row>
    <row r="79" ht="14.25" customHeight="1">
      <c r="A79" s="10"/>
      <c r="F79" s="8"/>
    </row>
    <row r="80" ht="14.25" customHeight="1">
      <c r="A80" s="10"/>
      <c r="F80" s="8"/>
    </row>
    <row r="81" ht="14.25" customHeight="1">
      <c r="A81" s="10"/>
      <c r="F81" s="8"/>
    </row>
    <row r="82" ht="14.25" customHeight="1">
      <c r="A82" s="10"/>
      <c r="F82" s="8"/>
    </row>
    <row r="83" ht="14.25" customHeight="1">
      <c r="A83" s="10"/>
      <c r="F83" s="8"/>
    </row>
    <row r="84" ht="14.25" customHeight="1">
      <c r="A84" s="10"/>
      <c r="F84" s="8"/>
    </row>
    <row r="85" ht="14.25" customHeight="1">
      <c r="A85" s="10"/>
      <c r="F85" s="8"/>
    </row>
    <row r="86" ht="14.25" customHeight="1">
      <c r="A86" s="10"/>
      <c r="F86" s="8"/>
    </row>
    <row r="87" ht="14.25" customHeight="1">
      <c r="A87" s="10"/>
      <c r="F87" s="8"/>
    </row>
    <row r="88" ht="14.25" customHeight="1">
      <c r="A88" s="10"/>
      <c r="F88" s="8"/>
    </row>
    <row r="89" ht="14.25" customHeight="1">
      <c r="A89" s="10"/>
      <c r="F89" s="8"/>
    </row>
    <row r="90" ht="14.25" customHeight="1">
      <c r="A90" s="10"/>
      <c r="F90" s="8"/>
    </row>
    <row r="91" ht="14.25" customHeight="1">
      <c r="A91" s="10"/>
      <c r="F91" s="8"/>
    </row>
    <row r="92" ht="14.25" customHeight="1">
      <c r="A92" s="10"/>
      <c r="F92" s="8"/>
    </row>
    <row r="93" ht="14.25" customHeight="1">
      <c r="A93" s="10"/>
      <c r="F93" s="8"/>
    </row>
    <row r="94" ht="14.25" customHeight="1">
      <c r="A94" s="10"/>
      <c r="F94" s="8"/>
    </row>
    <row r="95" ht="14.25" customHeight="1">
      <c r="A95" s="10"/>
      <c r="F95" s="8"/>
    </row>
    <row r="96" ht="14.25" customHeight="1">
      <c r="A96" s="10"/>
      <c r="F96" s="8"/>
    </row>
    <row r="97" ht="14.25" customHeight="1">
      <c r="A97" s="10"/>
      <c r="F97" s="8"/>
    </row>
    <row r="98" ht="14.25" customHeight="1">
      <c r="A98" s="10"/>
      <c r="F98" s="8"/>
    </row>
    <row r="99" ht="14.25" customHeight="1">
      <c r="A99" s="10"/>
      <c r="F99" s="8"/>
    </row>
    <row r="100" ht="14.25" customHeight="1">
      <c r="A100" s="10"/>
      <c r="F100" s="8"/>
    </row>
    <row r="101" ht="14.25" customHeight="1">
      <c r="A101" s="10"/>
      <c r="F101" s="8"/>
    </row>
    <row r="102" ht="14.25" customHeight="1">
      <c r="A102" s="10"/>
      <c r="F102" s="8"/>
    </row>
    <row r="103" ht="14.25" customHeight="1">
      <c r="A103" s="10"/>
      <c r="F103" s="8"/>
    </row>
    <row r="104" ht="14.25" customHeight="1">
      <c r="A104" s="10"/>
      <c r="F104" s="8"/>
    </row>
    <row r="105" ht="14.25" customHeight="1">
      <c r="A105" s="10"/>
      <c r="F105" s="8"/>
    </row>
    <row r="106" ht="14.25" customHeight="1">
      <c r="A106" s="10"/>
      <c r="F106" s="8"/>
    </row>
    <row r="107" ht="14.25" customHeight="1">
      <c r="A107" s="10"/>
      <c r="F107" s="8"/>
    </row>
    <row r="108" ht="14.25" customHeight="1">
      <c r="A108" s="10"/>
      <c r="F108" s="8"/>
    </row>
    <row r="109" ht="14.25" customHeight="1">
      <c r="A109" s="10"/>
      <c r="F109" s="8"/>
    </row>
    <row r="110" ht="14.25" customHeight="1">
      <c r="A110" s="10"/>
      <c r="F110" s="8"/>
    </row>
    <row r="111" ht="14.25" customHeight="1">
      <c r="A111" s="10"/>
      <c r="F111" s="8"/>
    </row>
    <row r="112" ht="14.25" customHeight="1">
      <c r="A112" s="10"/>
      <c r="F112" s="8"/>
    </row>
    <row r="113" ht="14.25" customHeight="1">
      <c r="A113" s="10"/>
      <c r="F113" s="8"/>
    </row>
    <row r="114" ht="14.25" customHeight="1">
      <c r="A114" s="10"/>
      <c r="F114" s="8"/>
    </row>
    <row r="115" ht="14.25" customHeight="1">
      <c r="A115" s="10"/>
      <c r="F115" s="8"/>
    </row>
    <row r="116" ht="14.25" customHeight="1">
      <c r="A116" s="10"/>
      <c r="F116" s="8"/>
    </row>
    <row r="117" ht="14.25" customHeight="1">
      <c r="A117" s="10"/>
      <c r="F117" s="8"/>
    </row>
    <row r="118" ht="14.25" customHeight="1">
      <c r="A118" s="10"/>
      <c r="F118" s="8"/>
    </row>
    <row r="119" ht="14.25" customHeight="1">
      <c r="A119" s="10"/>
      <c r="F119" s="8"/>
    </row>
    <row r="120" ht="14.25" customHeight="1">
      <c r="A120" s="10"/>
      <c r="F120" s="8"/>
    </row>
    <row r="121" ht="14.25" customHeight="1">
      <c r="A121" s="10"/>
      <c r="F121" s="8"/>
    </row>
    <row r="122" ht="14.25" customHeight="1">
      <c r="A122" s="10"/>
      <c r="F122" s="8"/>
    </row>
    <row r="123" ht="14.25" customHeight="1">
      <c r="A123" s="10"/>
      <c r="F123" s="8"/>
    </row>
    <row r="124" ht="14.25" customHeight="1">
      <c r="A124" s="10"/>
      <c r="F124" s="8"/>
    </row>
    <row r="125" ht="14.25" customHeight="1">
      <c r="A125" s="10"/>
      <c r="F125" s="8"/>
    </row>
    <row r="126" ht="14.25" customHeight="1">
      <c r="A126" s="10"/>
      <c r="F126" s="8"/>
    </row>
    <row r="127" ht="14.25" customHeight="1">
      <c r="A127" s="10"/>
      <c r="F127" s="8"/>
    </row>
    <row r="128" ht="14.25" customHeight="1">
      <c r="A128" s="10"/>
      <c r="F128" s="8"/>
    </row>
    <row r="129" ht="14.25" customHeight="1">
      <c r="A129" s="10"/>
      <c r="F129" s="8"/>
    </row>
    <row r="130" ht="14.25" customHeight="1">
      <c r="A130" s="10"/>
      <c r="F130" s="8"/>
    </row>
    <row r="131" ht="14.25" customHeight="1">
      <c r="A131" s="10"/>
      <c r="F131" s="8"/>
    </row>
    <row r="132" ht="14.25" customHeight="1">
      <c r="A132" s="10"/>
      <c r="F132" s="8"/>
    </row>
    <row r="133" ht="14.25" customHeight="1">
      <c r="A133" s="10"/>
      <c r="F133" s="8"/>
    </row>
    <row r="134" ht="14.25" customHeight="1">
      <c r="A134" s="10"/>
      <c r="F134" s="8"/>
    </row>
    <row r="135" ht="14.25" customHeight="1">
      <c r="A135" s="10"/>
      <c r="F135" s="8"/>
    </row>
    <row r="136" ht="14.25" customHeight="1">
      <c r="A136" s="10"/>
      <c r="F136" s="8"/>
    </row>
    <row r="137" ht="14.25" customHeight="1">
      <c r="A137" s="10"/>
      <c r="F137" s="8"/>
    </row>
    <row r="138" ht="14.25" customHeight="1">
      <c r="A138" s="10"/>
      <c r="F138" s="8"/>
    </row>
    <row r="139" ht="14.25" customHeight="1">
      <c r="A139" s="10"/>
      <c r="F139" s="8"/>
    </row>
    <row r="140" ht="14.25" customHeight="1">
      <c r="A140" s="10"/>
      <c r="F140" s="8"/>
    </row>
    <row r="141" ht="14.25" customHeight="1">
      <c r="A141" s="10"/>
      <c r="F141" s="8"/>
    </row>
    <row r="142" ht="14.25" customHeight="1">
      <c r="A142" s="10"/>
      <c r="F142" s="8"/>
    </row>
    <row r="143" ht="14.25" customHeight="1">
      <c r="A143" s="10"/>
      <c r="F143" s="8"/>
    </row>
    <row r="144" ht="14.25" customHeight="1">
      <c r="A144" s="10"/>
      <c r="F144" s="8"/>
    </row>
    <row r="145" ht="14.25" customHeight="1">
      <c r="A145" s="10"/>
      <c r="F145" s="8"/>
    </row>
    <row r="146" ht="14.25" customHeight="1">
      <c r="A146" s="10"/>
      <c r="F146" s="8"/>
    </row>
    <row r="147" ht="14.25" customHeight="1">
      <c r="A147" s="10"/>
      <c r="F147" s="8"/>
    </row>
    <row r="148" ht="14.25" customHeight="1">
      <c r="A148" s="10"/>
      <c r="F148" s="8"/>
    </row>
    <row r="149" ht="14.25" customHeight="1">
      <c r="A149" s="10"/>
      <c r="F149" s="8"/>
    </row>
    <row r="150" ht="14.25" customHeight="1">
      <c r="A150" s="10"/>
      <c r="F150" s="8"/>
    </row>
    <row r="151" ht="14.25" customHeight="1">
      <c r="A151" s="10"/>
      <c r="F151" s="8"/>
    </row>
    <row r="152" ht="14.25" customHeight="1">
      <c r="A152" s="10"/>
      <c r="F152" s="8"/>
    </row>
    <row r="153" ht="14.25" customHeight="1">
      <c r="A153" s="10"/>
      <c r="F153" s="8"/>
    </row>
    <row r="154" ht="14.25" customHeight="1">
      <c r="A154" s="10"/>
      <c r="F154" s="8"/>
    </row>
    <row r="155" ht="14.25" customHeight="1">
      <c r="A155" s="10"/>
      <c r="F155" s="8"/>
    </row>
    <row r="156" ht="14.25" customHeight="1">
      <c r="A156" s="10"/>
      <c r="F156" s="8"/>
    </row>
    <row r="157" ht="14.25" customHeight="1">
      <c r="A157" s="10"/>
      <c r="F157" s="8"/>
    </row>
    <row r="158" ht="14.25" customHeight="1">
      <c r="A158" s="10"/>
      <c r="F158" s="8"/>
    </row>
    <row r="159" ht="14.25" customHeight="1">
      <c r="A159" s="10"/>
      <c r="F159" s="8"/>
    </row>
    <row r="160" ht="14.25" customHeight="1">
      <c r="A160" s="10"/>
      <c r="F160" s="8"/>
    </row>
    <row r="161" ht="14.25" customHeight="1">
      <c r="A161" s="10"/>
      <c r="F161" s="8"/>
    </row>
    <row r="162" ht="14.25" customHeight="1">
      <c r="A162" s="10"/>
      <c r="F162" s="8"/>
    </row>
    <row r="163" ht="14.25" customHeight="1">
      <c r="A163" s="10"/>
      <c r="F163" s="8"/>
    </row>
    <row r="164" ht="14.25" customHeight="1">
      <c r="A164" s="10"/>
      <c r="F164" s="8"/>
    </row>
    <row r="165" ht="14.25" customHeight="1">
      <c r="A165" s="10"/>
      <c r="F165" s="8"/>
    </row>
    <row r="166" ht="14.25" customHeight="1">
      <c r="A166" s="10"/>
      <c r="F166" s="8"/>
    </row>
    <row r="167" ht="14.25" customHeight="1">
      <c r="A167" s="10"/>
      <c r="F167" s="8"/>
    </row>
    <row r="168" ht="14.25" customHeight="1">
      <c r="A168" s="10"/>
      <c r="F168" s="8"/>
    </row>
    <row r="169" ht="14.25" customHeight="1">
      <c r="A169" s="10"/>
      <c r="F169" s="8"/>
    </row>
    <row r="170" ht="14.25" customHeight="1">
      <c r="A170" s="10"/>
      <c r="F170" s="8"/>
    </row>
    <row r="171" ht="14.25" customHeight="1">
      <c r="A171" s="10"/>
      <c r="F171" s="8"/>
    </row>
    <row r="172" ht="14.25" customHeight="1">
      <c r="A172" s="10"/>
      <c r="F172" s="8"/>
    </row>
    <row r="173" ht="14.25" customHeight="1">
      <c r="A173" s="10"/>
      <c r="F173" s="8"/>
    </row>
    <row r="174" ht="14.25" customHeight="1">
      <c r="A174" s="10"/>
      <c r="F174" s="8"/>
    </row>
    <row r="175" ht="14.25" customHeight="1">
      <c r="A175" s="10"/>
      <c r="F175" s="8"/>
    </row>
    <row r="176" ht="14.25" customHeight="1">
      <c r="A176" s="10"/>
      <c r="F176" s="8"/>
    </row>
    <row r="177" ht="14.25" customHeight="1">
      <c r="A177" s="10"/>
      <c r="F177" s="8"/>
    </row>
    <row r="178" ht="14.25" customHeight="1">
      <c r="A178" s="10"/>
      <c r="F178" s="8"/>
    </row>
    <row r="179" ht="14.25" customHeight="1">
      <c r="A179" s="10"/>
      <c r="F179" s="8"/>
    </row>
    <row r="180" ht="14.25" customHeight="1">
      <c r="A180" s="10"/>
      <c r="F180" s="8"/>
    </row>
    <row r="181" ht="14.25" customHeight="1">
      <c r="A181" s="10"/>
      <c r="F181" s="8"/>
    </row>
    <row r="182" ht="14.25" customHeight="1">
      <c r="A182" s="10"/>
      <c r="F182" s="8"/>
    </row>
    <row r="183" ht="14.25" customHeight="1">
      <c r="A183" s="10"/>
      <c r="F183" s="8"/>
    </row>
    <row r="184" ht="14.25" customHeight="1">
      <c r="A184" s="10"/>
      <c r="F184" s="8"/>
    </row>
    <row r="185" ht="14.25" customHeight="1">
      <c r="A185" s="10"/>
      <c r="F185" s="8"/>
    </row>
    <row r="186" ht="14.25" customHeight="1">
      <c r="A186" s="10"/>
      <c r="F186" s="8"/>
    </row>
    <row r="187" ht="14.25" customHeight="1">
      <c r="A187" s="10"/>
      <c r="F187" s="8"/>
    </row>
    <row r="188" ht="14.25" customHeight="1">
      <c r="A188" s="10"/>
      <c r="F188" s="8"/>
    </row>
    <row r="189" ht="14.25" customHeight="1">
      <c r="A189" s="10"/>
      <c r="F189" s="8"/>
    </row>
    <row r="190" ht="14.25" customHeight="1">
      <c r="A190" s="10"/>
      <c r="F190" s="8"/>
    </row>
    <row r="191" ht="14.25" customHeight="1">
      <c r="A191" s="10"/>
      <c r="F191" s="8"/>
    </row>
    <row r="192" ht="14.25" customHeight="1">
      <c r="A192" s="10"/>
      <c r="F192" s="8"/>
    </row>
    <row r="193" ht="14.25" customHeight="1">
      <c r="A193" s="10"/>
      <c r="F193" s="8"/>
    </row>
    <row r="194" ht="14.25" customHeight="1">
      <c r="A194" s="10"/>
      <c r="F194" s="8"/>
    </row>
    <row r="195" ht="14.25" customHeight="1">
      <c r="A195" s="10"/>
      <c r="F195" s="8"/>
    </row>
    <row r="196" ht="14.25" customHeight="1">
      <c r="A196" s="10"/>
      <c r="F196" s="8"/>
    </row>
    <row r="197" ht="14.25" customHeight="1">
      <c r="A197" s="10"/>
      <c r="F197" s="8"/>
    </row>
    <row r="198" ht="14.25" customHeight="1">
      <c r="A198" s="10"/>
      <c r="F198" s="8"/>
    </row>
    <row r="199" ht="14.25" customHeight="1">
      <c r="A199" s="10"/>
      <c r="F199" s="8"/>
    </row>
    <row r="200" ht="14.25" customHeight="1">
      <c r="A200" s="10"/>
      <c r="F200" s="8"/>
    </row>
    <row r="201" ht="14.25" customHeight="1">
      <c r="A201" s="10"/>
      <c r="F201" s="8"/>
    </row>
    <row r="202" ht="14.25" customHeight="1">
      <c r="A202" s="10"/>
      <c r="F202" s="8"/>
    </row>
    <row r="203" ht="14.25" customHeight="1">
      <c r="A203" s="10"/>
      <c r="F203" s="8"/>
    </row>
    <row r="204" ht="14.25" customHeight="1">
      <c r="A204" s="10"/>
      <c r="F204" s="8"/>
    </row>
    <row r="205" ht="14.25" customHeight="1">
      <c r="A205" s="10"/>
      <c r="F205" s="8"/>
    </row>
    <row r="206" ht="14.25" customHeight="1">
      <c r="A206" s="10"/>
      <c r="F206" s="8"/>
    </row>
    <row r="207" ht="14.25" customHeight="1">
      <c r="A207" s="10"/>
      <c r="F207" s="8"/>
    </row>
    <row r="208" ht="14.25" customHeight="1">
      <c r="A208" s="10"/>
      <c r="F208" s="8"/>
    </row>
    <row r="209" ht="14.25" customHeight="1">
      <c r="A209" s="10"/>
      <c r="F209" s="8"/>
    </row>
    <row r="210" ht="14.25" customHeight="1">
      <c r="A210" s="10"/>
      <c r="F210" s="8"/>
    </row>
    <row r="211" ht="14.25" customHeight="1">
      <c r="A211" s="10"/>
      <c r="F211" s="8"/>
    </row>
    <row r="212" ht="14.25" customHeight="1">
      <c r="A212" s="10"/>
      <c r="F212" s="8"/>
    </row>
    <row r="213" ht="14.25" customHeight="1">
      <c r="A213" s="10"/>
      <c r="F213" s="8"/>
    </row>
    <row r="214" ht="14.25" customHeight="1">
      <c r="A214" s="10"/>
      <c r="F214" s="8"/>
    </row>
    <row r="215" ht="14.25" customHeight="1">
      <c r="A215" s="10"/>
      <c r="F215" s="8"/>
    </row>
    <row r="216" ht="14.25" customHeight="1">
      <c r="A216" s="10"/>
      <c r="F216" s="8"/>
    </row>
    <row r="217" ht="14.25" customHeight="1">
      <c r="A217" s="10"/>
      <c r="F217" s="8"/>
    </row>
    <row r="218" ht="14.25" customHeight="1">
      <c r="A218" s="10"/>
      <c r="F218" s="8"/>
    </row>
    <row r="219" ht="14.25" customHeight="1">
      <c r="A219" s="10"/>
      <c r="F219" s="8"/>
    </row>
    <row r="220" ht="14.25" customHeight="1">
      <c r="A220" s="10"/>
      <c r="F220" s="8"/>
    </row>
    <row r="221" ht="14.25" customHeight="1">
      <c r="A221" s="10"/>
      <c r="F221" s="8"/>
    </row>
    <row r="222" ht="14.25" customHeight="1">
      <c r="A222" s="10"/>
      <c r="F222" s="8"/>
    </row>
    <row r="223" ht="14.25" customHeight="1">
      <c r="A223" s="10"/>
      <c r="F223" s="8"/>
    </row>
    <row r="224" ht="14.25" customHeight="1">
      <c r="A224" s="10"/>
      <c r="F224" s="8"/>
    </row>
    <row r="225" ht="14.25" customHeight="1">
      <c r="A225" s="10"/>
      <c r="F225" s="8"/>
    </row>
    <row r="226" ht="14.25" customHeight="1">
      <c r="A226" s="10"/>
      <c r="F226" s="8"/>
    </row>
    <row r="227" ht="14.25" customHeight="1">
      <c r="A227" s="10"/>
      <c r="F227" s="8"/>
    </row>
    <row r="228" ht="14.25" customHeight="1">
      <c r="A228" s="10"/>
      <c r="F228" s="8"/>
    </row>
    <row r="229" ht="14.25" customHeight="1">
      <c r="A229" s="10"/>
      <c r="F229" s="8"/>
    </row>
    <row r="230" ht="14.25" customHeight="1">
      <c r="A230" s="10"/>
      <c r="F230" s="8"/>
    </row>
    <row r="231" ht="14.25" customHeight="1">
      <c r="A231" s="10"/>
      <c r="F231" s="8"/>
    </row>
    <row r="232" ht="14.25" customHeight="1">
      <c r="A232" s="10"/>
      <c r="F232" s="8"/>
    </row>
    <row r="233" ht="14.25" customHeight="1">
      <c r="A233" s="10"/>
      <c r="F233" s="8"/>
    </row>
    <row r="234" ht="14.25" customHeight="1">
      <c r="A234" s="10"/>
      <c r="F234" s="8"/>
    </row>
    <row r="235" ht="14.25" customHeight="1">
      <c r="A235" s="10"/>
      <c r="F235" s="8"/>
    </row>
    <row r="236" ht="14.25" customHeight="1">
      <c r="A236" s="10"/>
      <c r="F236" s="8"/>
    </row>
    <row r="237" ht="14.25" customHeight="1">
      <c r="A237" s="10"/>
      <c r="F237" s="8"/>
    </row>
    <row r="238" ht="14.25" customHeight="1">
      <c r="A238" s="10"/>
      <c r="F238" s="8"/>
    </row>
    <row r="239" ht="14.25" customHeight="1">
      <c r="A239" s="10"/>
      <c r="F239" s="8"/>
    </row>
    <row r="240" ht="14.25" customHeight="1">
      <c r="A240" s="10"/>
      <c r="F240" s="8"/>
    </row>
    <row r="241" ht="14.25" customHeight="1">
      <c r="A241" s="10"/>
      <c r="F241" s="8"/>
    </row>
    <row r="242" ht="14.25" customHeight="1">
      <c r="A242" s="10"/>
      <c r="F242" s="8"/>
    </row>
    <row r="243" ht="14.25" customHeight="1">
      <c r="A243" s="10"/>
      <c r="F243" s="8"/>
    </row>
    <row r="244" ht="14.25" customHeight="1">
      <c r="A244" s="10"/>
      <c r="F244" s="8"/>
    </row>
    <row r="245" ht="14.25" customHeight="1">
      <c r="A245" s="10"/>
      <c r="F245" s="8"/>
    </row>
    <row r="246" ht="14.25" customHeight="1">
      <c r="A246" s="10"/>
      <c r="F246" s="8"/>
    </row>
    <row r="247" ht="14.25" customHeight="1">
      <c r="A247" s="10"/>
      <c r="F247" s="8"/>
    </row>
    <row r="248" ht="14.25" customHeight="1">
      <c r="A248" s="10"/>
      <c r="F248" s="8"/>
    </row>
    <row r="249" ht="14.25" customHeight="1">
      <c r="A249" s="10"/>
      <c r="F249" s="8"/>
    </row>
    <row r="250" ht="14.25" customHeight="1">
      <c r="A250" s="10"/>
      <c r="F250" s="8"/>
    </row>
    <row r="251" ht="14.25" customHeight="1">
      <c r="A251" s="10"/>
      <c r="F251" s="8"/>
    </row>
    <row r="252" ht="14.25" customHeight="1">
      <c r="A252" s="10"/>
      <c r="F252" s="8"/>
    </row>
    <row r="253" ht="14.25" customHeight="1">
      <c r="A253" s="10"/>
      <c r="F253" s="8"/>
    </row>
    <row r="254" ht="14.25" customHeight="1">
      <c r="A254" s="10"/>
      <c r="F254" s="8"/>
    </row>
    <row r="255" ht="14.25" customHeight="1">
      <c r="A255" s="10"/>
      <c r="F255" s="8"/>
    </row>
    <row r="256" ht="14.25" customHeight="1">
      <c r="A256" s="10"/>
      <c r="F256" s="8"/>
    </row>
    <row r="257" ht="14.25" customHeight="1">
      <c r="A257" s="10"/>
      <c r="F257" s="8"/>
    </row>
    <row r="258" ht="14.25" customHeight="1">
      <c r="A258" s="10"/>
      <c r="F258" s="8"/>
    </row>
    <row r="259" ht="14.25" customHeight="1">
      <c r="A259" s="10"/>
      <c r="F259" s="8"/>
    </row>
    <row r="260" ht="14.25" customHeight="1">
      <c r="A260" s="10"/>
      <c r="F260" s="8"/>
    </row>
    <row r="261" ht="14.25" customHeight="1">
      <c r="A261" s="10"/>
      <c r="F261" s="8"/>
    </row>
    <row r="262" ht="14.25" customHeight="1">
      <c r="A262" s="10"/>
      <c r="F262" s="8"/>
    </row>
    <row r="263" ht="14.25" customHeight="1">
      <c r="A263" s="10"/>
      <c r="F263" s="8"/>
    </row>
    <row r="264" ht="14.25" customHeight="1">
      <c r="A264" s="10"/>
      <c r="F264" s="8"/>
    </row>
    <row r="265" ht="14.25" customHeight="1">
      <c r="A265" s="10"/>
      <c r="F265" s="8"/>
    </row>
    <row r="266" ht="14.25" customHeight="1">
      <c r="A266" s="10"/>
      <c r="F266" s="8"/>
    </row>
    <row r="267" ht="14.25" customHeight="1">
      <c r="A267" s="10"/>
      <c r="F267" s="8"/>
    </row>
    <row r="268" ht="14.25" customHeight="1">
      <c r="A268" s="10"/>
      <c r="F268" s="8"/>
    </row>
    <row r="269" ht="14.25" customHeight="1">
      <c r="A269" s="10"/>
      <c r="F269" s="8"/>
    </row>
    <row r="270" ht="14.25" customHeight="1">
      <c r="A270" s="10"/>
      <c r="F270" s="8"/>
    </row>
    <row r="271" ht="14.25" customHeight="1">
      <c r="A271" s="10"/>
      <c r="F271" s="8"/>
    </row>
    <row r="272" ht="14.25" customHeight="1">
      <c r="A272" s="10"/>
      <c r="F272" s="8"/>
    </row>
    <row r="273" ht="14.25" customHeight="1">
      <c r="A273" s="10"/>
      <c r="F273" s="8"/>
    </row>
    <row r="274" ht="14.25" customHeight="1">
      <c r="A274" s="10"/>
      <c r="F274" s="8"/>
    </row>
    <row r="275" ht="14.25" customHeight="1">
      <c r="A275" s="10"/>
      <c r="F275" s="8"/>
    </row>
    <row r="276" ht="14.25" customHeight="1">
      <c r="A276" s="10"/>
      <c r="F276" s="8"/>
    </row>
    <row r="277" ht="14.25" customHeight="1">
      <c r="A277" s="10"/>
      <c r="F277" s="8"/>
    </row>
    <row r="278" ht="14.25" customHeight="1">
      <c r="A278" s="10"/>
      <c r="F278" s="8"/>
    </row>
    <row r="279" ht="14.25" customHeight="1">
      <c r="A279" s="10"/>
      <c r="F279" s="8"/>
    </row>
    <row r="280" ht="14.25" customHeight="1">
      <c r="A280" s="10"/>
      <c r="F280" s="8"/>
    </row>
    <row r="281" ht="14.25" customHeight="1">
      <c r="A281" s="10"/>
      <c r="F281" s="8"/>
    </row>
    <row r="282" ht="14.25" customHeight="1">
      <c r="A282" s="10"/>
      <c r="F282" s="8"/>
    </row>
    <row r="283" ht="14.25" customHeight="1">
      <c r="A283" s="10"/>
      <c r="F283" s="8"/>
    </row>
    <row r="284" ht="14.25" customHeight="1">
      <c r="A284" s="10"/>
      <c r="F284" s="8"/>
    </row>
    <row r="285" ht="14.25" customHeight="1">
      <c r="A285" s="10"/>
      <c r="F285" s="8"/>
    </row>
    <row r="286" ht="14.25" customHeight="1">
      <c r="A286" s="10"/>
      <c r="F286" s="8"/>
    </row>
    <row r="287" ht="14.25" customHeight="1">
      <c r="A287" s="10"/>
      <c r="F287" s="8"/>
    </row>
    <row r="288" ht="14.25" customHeight="1">
      <c r="A288" s="10"/>
      <c r="F288" s="8"/>
    </row>
    <row r="289" ht="14.25" customHeight="1">
      <c r="A289" s="10"/>
      <c r="F289" s="8"/>
    </row>
    <row r="290" ht="14.25" customHeight="1">
      <c r="A290" s="10"/>
      <c r="F290" s="8"/>
    </row>
    <row r="291" ht="14.25" customHeight="1">
      <c r="A291" s="10"/>
      <c r="F291" s="8"/>
    </row>
    <row r="292" ht="14.25" customHeight="1">
      <c r="A292" s="10"/>
      <c r="F292" s="8"/>
    </row>
    <row r="293" ht="14.25" customHeight="1">
      <c r="A293" s="10"/>
      <c r="F293" s="8"/>
    </row>
    <row r="294" ht="14.25" customHeight="1">
      <c r="A294" s="10"/>
      <c r="F294" s="8"/>
    </row>
    <row r="295" ht="14.25" customHeight="1">
      <c r="A295" s="10"/>
      <c r="F295" s="8"/>
    </row>
    <row r="296" ht="14.25" customHeight="1">
      <c r="A296" s="10"/>
      <c r="F296" s="8"/>
    </row>
    <row r="297" ht="14.25" customHeight="1">
      <c r="A297" s="10"/>
      <c r="F297" s="8"/>
    </row>
    <row r="298" ht="14.25" customHeight="1">
      <c r="A298" s="10"/>
      <c r="F298" s="8"/>
    </row>
    <row r="299" ht="14.25" customHeight="1">
      <c r="A299" s="10"/>
      <c r="F299" s="8"/>
    </row>
    <row r="300" ht="14.25" customHeight="1">
      <c r="A300" s="10"/>
      <c r="F300" s="8"/>
    </row>
    <row r="301" ht="14.25" customHeight="1">
      <c r="A301" s="10"/>
      <c r="F301" s="8"/>
    </row>
    <row r="302" ht="14.25" customHeight="1">
      <c r="A302" s="10"/>
      <c r="F302" s="8"/>
    </row>
    <row r="303" ht="14.25" customHeight="1">
      <c r="A303" s="10"/>
      <c r="F303" s="8"/>
    </row>
    <row r="304" ht="14.25" customHeight="1">
      <c r="A304" s="10"/>
      <c r="F304" s="8"/>
    </row>
    <row r="305" ht="14.25" customHeight="1">
      <c r="A305" s="10"/>
      <c r="F305" s="8"/>
    </row>
    <row r="306" ht="14.25" customHeight="1">
      <c r="A306" s="10"/>
      <c r="F306" s="8"/>
    </row>
    <row r="307" ht="14.25" customHeight="1">
      <c r="A307" s="10"/>
      <c r="F307" s="8"/>
    </row>
    <row r="308" ht="14.25" customHeight="1">
      <c r="A308" s="10"/>
      <c r="F308" s="8"/>
    </row>
    <row r="309" ht="14.25" customHeight="1">
      <c r="A309" s="10"/>
      <c r="F309" s="8"/>
    </row>
    <row r="310" ht="14.25" customHeight="1">
      <c r="A310" s="10"/>
      <c r="F310" s="8"/>
    </row>
    <row r="311" ht="14.25" customHeight="1">
      <c r="A311" s="10"/>
      <c r="F311" s="8"/>
    </row>
    <row r="312" ht="14.25" customHeight="1">
      <c r="A312" s="10"/>
      <c r="F312" s="8"/>
    </row>
    <row r="313" ht="14.25" customHeight="1">
      <c r="A313" s="10"/>
      <c r="F313" s="8"/>
    </row>
    <row r="314" ht="14.25" customHeight="1">
      <c r="A314" s="10"/>
      <c r="F314" s="8"/>
    </row>
    <row r="315" ht="14.25" customHeight="1">
      <c r="A315" s="10"/>
      <c r="F315" s="8"/>
    </row>
    <row r="316" ht="14.25" customHeight="1">
      <c r="A316" s="10"/>
      <c r="F316" s="8"/>
    </row>
    <row r="317" ht="14.25" customHeight="1">
      <c r="A317" s="10"/>
      <c r="F317" s="8"/>
    </row>
    <row r="318" ht="14.25" customHeight="1">
      <c r="A318" s="10"/>
      <c r="F318" s="8"/>
    </row>
    <row r="319" ht="14.25" customHeight="1">
      <c r="A319" s="10"/>
      <c r="F319" s="8"/>
    </row>
    <row r="320" ht="14.25" customHeight="1">
      <c r="A320" s="10"/>
      <c r="F320" s="8"/>
    </row>
    <row r="321" ht="14.25" customHeight="1">
      <c r="A321" s="10"/>
      <c r="F321" s="8"/>
    </row>
    <row r="322" ht="14.25" customHeight="1">
      <c r="A322" s="10"/>
      <c r="F322" s="8"/>
    </row>
    <row r="323" ht="14.25" customHeight="1">
      <c r="A323" s="10"/>
      <c r="F323" s="8"/>
    </row>
    <row r="324" ht="14.25" customHeight="1">
      <c r="A324" s="10"/>
      <c r="F324" s="8"/>
    </row>
    <row r="325" ht="14.25" customHeight="1">
      <c r="A325" s="10"/>
      <c r="F325" s="8"/>
    </row>
    <row r="326" ht="14.25" customHeight="1">
      <c r="A326" s="10"/>
      <c r="F326" s="8"/>
    </row>
    <row r="327" ht="14.25" customHeight="1">
      <c r="A327" s="10"/>
      <c r="F327" s="8"/>
    </row>
    <row r="328" ht="14.25" customHeight="1">
      <c r="A328" s="10"/>
      <c r="F328" s="8"/>
    </row>
    <row r="329" ht="14.25" customHeight="1">
      <c r="A329" s="10"/>
      <c r="F329" s="8"/>
    </row>
    <row r="330" ht="14.25" customHeight="1">
      <c r="A330" s="10"/>
      <c r="F330" s="8"/>
    </row>
    <row r="331" ht="14.25" customHeight="1">
      <c r="A331" s="10"/>
      <c r="F331" s="8"/>
    </row>
    <row r="332" ht="14.25" customHeight="1">
      <c r="A332" s="10"/>
      <c r="F332" s="8"/>
    </row>
    <row r="333" ht="14.25" customHeight="1">
      <c r="A333" s="10"/>
      <c r="F333" s="8"/>
    </row>
    <row r="334" ht="14.25" customHeight="1">
      <c r="A334" s="10"/>
      <c r="F334" s="8"/>
    </row>
    <row r="335" ht="14.25" customHeight="1">
      <c r="A335" s="10"/>
      <c r="F335" s="8"/>
    </row>
    <row r="336" ht="14.25" customHeight="1">
      <c r="A336" s="10"/>
      <c r="F336" s="8"/>
    </row>
    <row r="337" ht="14.25" customHeight="1">
      <c r="A337" s="10"/>
      <c r="F337" s="8"/>
    </row>
    <row r="338" ht="14.25" customHeight="1">
      <c r="A338" s="10"/>
      <c r="F338" s="8"/>
    </row>
    <row r="339" ht="14.25" customHeight="1">
      <c r="A339" s="10"/>
      <c r="F339" s="8"/>
    </row>
    <row r="340" ht="14.25" customHeight="1">
      <c r="A340" s="10"/>
      <c r="F340" s="8"/>
    </row>
    <row r="341" ht="14.25" customHeight="1">
      <c r="A341" s="10"/>
      <c r="F341" s="8"/>
    </row>
    <row r="342" ht="14.25" customHeight="1">
      <c r="A342" s="10"/>
      <c r="F342" s="8"/>
    </row>
    <row r="343" ht="14.25" customHeight="1">
      <c r="A343" s="10"/>
      <c r="F343" s="8"/>
    </row>
    <row r="344" ht="14.25" customHeight="1">
      <c r="A344" s="10"/>
      <c r="F344" s="8"/>
    </row>
    <row r="345" ht="14.25" customHeight="1">
      <c r="A345" s="10"/>
      <c r="F345" s="8"/>
    </row>
    <row r="346" ht="14.25" customHeight="1">
      <c r="A346" s="10"/>
      <c r="F346" s="8"/>
    </row>
    <row r="347" ht="14.25" customHeight="1">
      <c r="A347" s="10"/>
      <c r="F347" s="8"/>
    </row>
    <row r="348" ht="14.25" customHeight="1">
      <c r="A348" s="10"/>
      <c r="F348" s="8"/>
    </row>
    <row r="349" ht="14.25" customHeight="1">
      <c r="A349" s="10"/>
      <c r="F349" s="8"/>
    </row>
    <row r="350" ht="14.25" customHeight="1">
      <c r="A350" s="10"/>
      <c r="F350" s="8"/>
    </row>
    <row r="351" ht="14.25" customHeight="1">
      <c r="A351" s="10"/>
      <c r="F351" s="8"/>
    </row>
    <row r="352" ht="14.25" customHeight="1">
      <c r="A352" s="10"/>
      <c r="F352" s="8"/>
    </row>
    <row r="353" ht="14.25" customHeight="1">
      <c r="A353" s="10"/>
      <c r="F353" s="8"/>
    </row>
    <row r="354" ht="14.25" customHeight="1">
      <c r="A354" s="10"/>
      <c r="F354" s="8"/>
    </row>
    <row r="355" ht="14.25" customHeight="1">
      <c r="A355" s="10"/>
      <c r="F355" s="8"/>
    </row>
    <row r="356" ht="14.25" customHeight="1">
      <c r="A356" s="10"/>
      <c r="F356" s="8"/>
    </row>
    <row r="357" ht="14.25" customHeight="1">
      <c r="A357" s="10"/>
      <c r="F357" s="8"/>
    </row>
    <row r="358" ht="14.25" customHeight="1">
      <c r="A358" s="10"/>
      <c r="F358" s="8"/>
    </row>
    <row r="359" ht="14.25" customHeight="1">
      <c r="A359" s="10"/>
      <c r="F359" s="8"/>
    </row>
    <row r="360" ht="14.25" customHeight="1">
      <c r="A360" s="10"/>
      <c r="F360" s="8"/>
    </row>
    <row r="361" ht="14.25" customHeight="1">
      <c r="A361" s="10"/>
      <c r="F361" s="8"/>
    </row>
    <row r="362" ht="14.25" customHeight="1">
      <c r="A362" s="10"/>
      <c r="F362" s="8"/>
    </row>
    <row r="363" ht="14.25" customHeight="1">
      <c r="A363" s="10"/>
      <c r="F363" s="8"/>
    </row>
    <row r="364" ht="14.25" customHeight="1">
      <c r="A364" s="10"/>
      <c r="F364" s="8"/>
    </row>
    <row r="365" ht="14.25" customHeight="1">
      <c r="A365" s="10"/>
      <c r="F365" s="8"/>
    </row>
    <row r="366" ht="14.25" customHeight="1">
      <c r="A366" s="10"/>
      <c r="F366" s="8"/>
    </row>
    <row r="367" ht="14.25" customHeight="1">
      <c r="A367" s="10"/>
      <c r="F367" s="8"/>
    </row>
    <row r="368" ht="14.25" customHeight="1">
      <c r="A368" s="10"/>
      <c r="F368" s="8"/>
    </row>
    <row r="369" ht="14.25" customHeight="1">
      <c r="A369" s="10"/>
      <c r="F369" s="8"/>
    </row>
    <row r="370" ht="14.25" customHeight="1">
      <c r="A370" s="10"/>
      <c r="F370" s="8"/>
    </row>
    <row r="371" ht="14.25" customHeight="1">
      <c r="A371" s="10"/>
      <c r="F371" s="8"/>
    </row>
    <row r="372" ht="14.25" customHeight="1">
      <c r="A372" s="10"/>
      <c r="F372" s="8"/>
    </row>
    <row r="373" ht="14.25" customHeight="1">
      <c r="A373" s="10"/>
      <c r="F373" s="8"/>
    </row>
    <row r="374" ht="14.25" customHeight="1">
      <c r="A374" s="10"/>
      <c r="F374" s="8"/>
    </row>
    <row r="375" ht="14.25" customHeight="1">
      <c r="A375" s="10"/>
      <c r="F375" s="8"/>
    </row>
    <row r="376" ht="14.25" customHeight="1">
      <c r="A376" s="10"/>
      <c r="F376" s="8"/>
    </row>
    <row r="377" ht="14.25" customHeight="1">
      <c r="A377" s="10"/>
      <c r="F377" s="8"/>
    </row>
    <row r="378" ht="14.25" customHeight="1">
      <c r="A378" s="10"/>
      <c r="F378" s="8"/>
    </row>
    <row r="379" ht="14.25" customHeight="1">
      <c r="A379" s="10"/>
      <c r="F379" s="8"/>
    </row>
    <row r="380" ht="14.25" customHeight="1">
      <c r="A380" s="10"/>
      <c r="F380" s="8"/>
    </row>
    <row r="381" ht="14.25" customHeight="1">
      <c r="A381" s="10"/>
      <c r="F381" s="8"/>
    </row>
    <row r="382" ht="14.25" customHeight="1">
      <c r="A382" s="10"/>
      <c r="F382" s="8"/>
    </row>
    <row r="383" ht="14.25" customHeight="1">
      <c r="A383" s="10"/>
      <c r="F383" s="8"/>
    </row>
    <row r="384" ht="14.25" customHeight="1">
      <c r="A384" s="10"/>
      <c r="F384" s="8"/>
    </row>
    <row r="385" ht="14.25" customHeight="1">
      <c r="A385" s="10"/>
      <c r="F385" s="8"/>
    </row>
    <row r="386" ht="14.25" customHeight="1">
      <c r="A386" s="10"/>
      <c r="F386" s="8"/>
    </row>
    <row r="387" ht="14.25" customHeight="1">
      <c r="A387" s="10"/>
      <c r="F387" s="8"/>
    </row>
    <row r="388" ht="14.25" customHeight="1">
      <c r="A388" s="10"/>
      <c r="F388" s="8"/>
    </row>
    <row r="389" ht="14.25" customHeight="1">
      <c r="A389" s="10"/>
      <c r="F389" s="8"/>
    </row>
    <row r="390" ht="14.25" customHeight="1">
      <c r="A390" s="10"/>
      <c r="F390" s="8"/>
    </row>
    <row r="391" ht="14.25" customHeight="1">
      <c r="A391" s="10"/>
      <c r="F391" s="8"/>
    </row>
    <row r="392" ht="14.25" customHeight="1">
      <c r="A392" s="10"/>
      <c r="F392" s="8"/>
    </row>
    <row r="393" ht="14.25" customHeight="1">
      <c r="A393" s="10"/>
      <c r="F393" s="8"/>
    </row>
    <row r="394" ht="14.25" customHeight="1">
      <c r="A394" s="10"/>
      <c r="F394" s="8"/>
    </row>
    <row r="395" ht="14.25" customHeight="1">
      <c r="A395" s="10"/>
      <c r="F395" s="8"/>
    </row>
    <row r="396" ht="14.25" customHeight="1">
      <c r="A396" s="10"/>
      <c r="F396" s="8"/>
    </row>
    <row r="397" ht="14.25" customHeight="1">
      <c r="A397" s="10"/>
      <c r="F397" s="8"/>
    </row>
    <row r="398" ht="14.25" customHeight="1">
      <c r="A398" s="10"/>
      <c r="F398" s="8"/>
    </row>
    <row r="399" ht="14.25" customHeight="1">
      <c r="A399" s="10"/>
      <c r="F399" s="8"/>
    </row>
    <row r="400" ht="14.25" customHeight="1">
      <c r="A400" s="10"/>
      <c r="F400" s="8"/>
    </row>
    <row r="401" ht="14.25" customHeight="1">
      <c r="A401" s="10"/>
      <c r="F401" s="8"/>
    </row>
    <row r="402" ht="14.25" customHeight="1">
      <c r="A402" s="10"/>
      <c r="F402" s="8"/>
    </row>
    <row r="403" ht="14.25" customHeight="1">
      <c r="A403" s="10"/>
      <c r="F403" s="8"/>
    </row>
    <row r="404" ht="14.25" customHeight="1">
      <c r="A404" s="10"/>
      <c r="F404" s="8"/>
    </row>
    <row r="405" ht="14.25" customHeight="1">
      <c r="A405" s="10"/>
      <c r="F405" s="8"/>
    </row>
    <row r="406" ht="14.25" customHeight="1">
      <c r="A406" s="10"/>
      <c r="F406" s="8"/>
    </row>
    <row r="407" ht="14.25" customHeight="1">
      <c r="A407" s="10"/>
      <c r="F407" s="8"/>
    </row>
    <row r="408" ht="14.25" customHeight="1">
      <c r="A408" s="10"/>
      <c r="F408" s="8"/>
    </row>
    <row r="409" ht="14.25" customHeight="1">
      <c r="A409" s="10"/>
      <c r="F409" s="8"/>
    </row>
    <row r="410" ht="14.25" customHeight="1">
      <c r="A410" s="10"/>
      <c r="F410" s="8"/>
    </row>
    <row r="411" ht="14.25" customHeight="1">
      <c r="A411" s="10"/>
      <c r="F411" s="8"/>
    </row>
    <row r="412" ht="14.25" customHeight="1">
      <c r="A412" s="10"/>
      <c r="F412" s="8"/>
    </row>
    <row r="413" ht="14.25" customHeight="1">
      <c r="A413" s="10"/>
      <c r="F413" s="8"/>
    </row>
    <row r="414" ht="14.25" customHeight="1">
      <c r="A414" s="10"/>
      <c r="F414" s="8"/>
    </row>
    <row r="415" ht="14.25" customHeight="1">
      <c r="A415" s="10"/>
      <c r="F415" s="8"/>
    </row>
    <row r="416" ht="14.25" customHeight="1">
      <c r="A416" s="10"/>
      <c r="F416" s="8"/>
    </row>
    <row r="417" ht="14.25" customHeight="1">
      <c r="A417" s="10"/>
      <c r="F417" s="8"/>
    </row>
    <row r="418" ht="14.25" customHeight="1">
      <c r="A418" s="10"/>
      <c r="F418" s="8"/>
    </row>
    <row r="419" ht="14.25" customHeight="1">
      <c r="A419" s="10"/>
      <c r="F419" s="8"/>
    </row>
    <row r="420" ht="14.25" customHeight="1">
      <c r="A420" s="10"/>
      <c r="F420" s="8"/>
    </row>
    <row r="421" ht="14.25" customHeight="1">
      <c r="A421" s="10"/>
      <c r="F421" s="8"/>
    </row>
    <row r="422" ht="14.25" customHeight="1">
      <c r="A422" s="10"/>
      <c r="F422" s="8"/>
    </row>
    <row r="423" ht="14.25" customHeight="1">
      <c r="A423" s="10"/>
      <c r="F423" s="8"/>
    </row>
    <row r="424" ht="14.25" customHeight="1">
      <c r="A424" s="10"/>
      <c r="F424" s="8"/>
    </row>
    <row r="425" ht="14.25" customHeight="1">
      <c r="A425" s="10"/>
      <c r="F425" s="8"/>
    </row>
    <row r="426" ht="14.25" customHeight="1">
      <c r="A426" s="10"/>
      <c r="F426" s="8"/>
    </row>
    <row r="427" ht="14.25" customHeight="1">
      <c r="A427" s="10"/>
      <c r="F427" s="8"/>
    </row>
    <row r="428" ht="14.25" customHeight="1">
      <c r="A428" s="10"/>
      <c r="F428" s="8"/>
    </row>
    <row r="429" ht="14.25" customHeight="1">
      <c r="A429" s="10"/>
      <c r="F429" s="8"/>
    </row>
    <row r="430" ht="14.25" customHeight="1">
      <c r="A430" s="10"/>
      <c r="F430" s="8"/>
    </row>
    <row r="431" ht="14.25" customHeight="1">
      <c r="A431" s="10"/>
      <c r="F431" s="8"/>
    </row>
    <row r="432" ht="14.25" customHeight="1">
      <c r="A432" s="10"/>
      <c r="F432" s="8"/>
    </row>
    <row r="433" ht="14.25" customHeight="1">
      <c r="A433" s="10"/>
      <c r="F433" s="8"/>
    </row>
    <row r="434" ht="14.25" customHeight="1">
      <c r="A434" s="10"/>
      <c r="F434" s="8"/>
    </row>
    <row r="435" ht="14.25" customHeight="1">
      <c r="A435" s="10"/>
      <c r="F435" s="8"/>
    </row>
    <row r="436" ht="14.25" customHeight="1">
      <c r="A436" s="10"/>
      <c r="F436" s="8"/>
    </row>
    <row r="437" ht="14.25" customHeight="1">
      <c r="A437" s="10"/>
      <c r="F437" s="8"/>
    </row>
    <row r="438" ht="14.25" customHeight="1">
      <c r="A438" s="10"/>
      <c r="F438" s="8"/>
    </row>
    <row r="439" ht="14.25" customHeight="1">
      <c r="A439" s="10"/>
      <c r="F439" s="8"/>
    </row>
    <row r="440" ht="14.25" customHeight="1">
      <c r="A440" s="10"/>
      <c r="F440" s="8"/>
    </row>
    <row r="441" ht="14.25" customHeight="1">
      <c r="A441" s="10"/>
      <c r="F441" s="8"/>
    </row>
    <row r="442" ht="14.25" customHeight="1">
      <c r="A442" s="10"/>
      <c r="F442" s="8"/>
    </row>
    <row r="443" ht="14.25" customHeight="1">
      <c r="A443" s="10"/>
      <c r="F443" s="8"/>
    </row>
    <row r="444" ht="14.25" customHeight="1">
      <c r="A444" s="10"/>
      <c r="F444" s="8"/>
    </row>
    <row r="445" ht="14.25" customHeight="1">
      <c r="A445" s="10"/>
      <c r="F445" s="8"/>
    </row>
    <row r="446" ht="14.25" customHeight="1">
      <c r="A446" s="10"/>
      <c r="F446" s="8"/>
    </row>
    <row r="447" ht="14.25" customHeight="1">
      <c r="A447" s="10"/>
      <c r="F447" s="8"/>
    </row>
    <row r="448" ht="14.25" customHeight="1">
      <c r="A448" s="10"/>
      <c r="F448" s="8"/>
    </row>
    <row r="449" ht="14.25" customHeight="1">
      <c r="A449" s="10"/>
      <c r="F449" s="8"/>
    </row>
    <row r="450" ht="14.25" customHeight="1">
      <c r="A450" s="10"/>
      <c r="F450" s="8"/>
    </row>
    <row r="451" ht="14.25" customHeight="1">
      <c r="A451" s="10"/>
      <c r="F451" s="8"/>
    </row>
    <row r="452" ht="14.25" customHeight="1">
      <c r="A452" s="10"/>
      <c r="F452" s="8"/>
    </row>
    <row r="453" ht="14.25" customHeight="1">
      <c r="A453" s="10"/>
      <c r="F453" s="8"/>
    </row>
    <row r="454" ht="14.25" customHeight="1">
      <c r="A454" s="10"/>
      <c r="F454" s="8"/>
    </row>
    <row r="455" ht="14.25" customHeight="1">
      <c r="A455" s="10"/>
      <c r="F455" s="8"/>
    </row>
    <row r="456" ht="14.25" customHeight="1">
      <c r="A456" s="10"/>
      <c r="F456" s="8"/>
    </row>
    <row r="457" ht="14.25" customHeight="1">
      <c r="A457" s="10"/>
      <c r="F457" s="8"/>
    </row>
    <row r="458" ht="14.25" customHeight="1">
      <c r="A458" s="10"/>
      <c r="F458" s="8"/>
    </row>
    <row r="459" ht="14.25" customHeight="1">
      <c r="A459" s="10"/>
      <c r="F459" s="8"/>
    </row>
    <row r="460" ht="14.25" customHeight="1">
      <c r="A460" s="10"/>
      <c r="F460" s="8"/>
    </row>
    <row r="461" ht="14.25" customHeight="1">
      <c r="A461" s="10"/>
      <c r="F461" s="8"/>
    </row>
    <row r="462" ht="14.25" customHeight="1">
      <c r="A462" s="10"/>
      <c r="F462" s="8"/>
    </row>
    <row r="463" ht="14.25" customHeight="1">
      <c r="A463" s="10"/>
      <c r="F463" s="8"/>
    </row>
    <row r="464" ht="14.25" customHeight="1">
      <c r="A464" s="10"/>
      <c r="F464" s="8"/>
    </row>
    <row r="465" ht="14.25" customHeight="1">
      <c r="A465" s="10"/>
      <c r="F465" s="8"/>
    </row>
    <row r="466" ht="14.25" customHeight="1">
      <c r="A466" s="10"/>
      <c r="F466" s="8"/>
    </row>
    <row r="467" ht="14.25" customHeight="1">
      <c r="A467" s="10"/>
      <c r="F467" s="8"/>
    </row>
    <row r="468" ht="14.25" customHeight="1">
      <c r="A468" s="10"/>
      <c r="F468" s="8"/>
    </row>
    <row r="469" ht="14.25" customHeight="1">
      <c r="A469" s="10"/>
      <c r="F469" s="8"/>
    </row>
    <row r="470" ht="14.25" customHeight="1">
      <c r="A470" s="10"/>
      <c r="F470" s="8"/>
    </row>
    <row r="471" ht="14.25" customHeight="1">
      <c r="A471" s="10"/>
      <c r="F471" s="8"/>
    </row>
    <row r="472" ht="14.25" customHeight="1">
      <c r="A472" s="10"/>
      <c r="F472" s="8"/>
    </row>
    <row r="473" ht="14.25" customHeight="1">
      <c r="A473" s="10"/>
      <c r="F473" s="8"/>
    </row>
    <row r="474" ht="14.25" customHeight="1">
      <c r="A474" s="10"/>
      <c r="F474" s="8"/>
    </row>
    <row r="475" ht="14.25" customHeight="1">
      <c r="A475" s="10"/>
      <c r="F475" s="8"/>
    </row>
    <row r="476" ht="14.25" customHeight="1">
      <c r="A476" s="10"/>
      <c r="F476" s="8"/>
    </row>
    <row r="477" ht="14.25" customHeight="1">
      <c r="A477" s="10"/>
      <c r="F477" s="8"/>
    </row>
    <row r="478" ht="14.25" customHeight="1">
      <c r="A478" s="10"/>
      <c r="F478" s="8"/>
    </row>
    <row r="479" ht="14.25" customHeight="1">
      <c r="A479" s="10"/>
      <c r="F479" s="8"/>
    </row>
    <row r="480" ht="14.25" customHeight="1">
      <c r="A480" s="10"/>
      <c r="F480" s="8"/>
    </row>
    <row r="481" ht="14.25" customHeight="1">
      <c r="A481" s="10"/>
      <c r="F481" s="8"/>
    </row>
    <row r="482" ht="14.25" customHeight="1">
      <c r="A482" s="10"/>
      <c r="F482" s="8"/>
    </row>
    <row r="483" ht="14.25" customHeight="1">
      <c r="A483" s="10"/>
      <c r="F483" s="8"/>
    </row>
    <row r="484" ht="14.25" customHeight="1">
      <c r="A484" s="10"/>
      <c r="F484" s="8"/>
    </row>
    <row r="485" ht="14.25" customHeight="1">
      <c r="A485" s="10"/>
      <c r="F485" s="8"/>
    </row>
    <row r="486" ht="14.25" customHeight="1">
      <c r="A486" s="10"/>
      <c r="F486" s="8"/>
    </row>
    <row r="487" ht="14.25" customHeight="1">
      <c r="A487" s="10"/>
      <c r="F487" s="8"/>
    </row>
    <row r="488" ht="14.25" customHeight="1">
      <c r="A488" s="10"/>
      <c r="F488" s="8"/>
    </row>
    <row r="489" ht="14.25" customHeight="1">
      <c r="A489" s="10"/>
      <c r="F489" s="8"/>
    </row>
    <row r="490" ht="14.25" customHeight="1">
      <c r="A490" s="10"/>
      <c r="F490" s="8"/>
    </row>
    <row r="491" ht="14.25" customHeight="1">
      <c r="A491" s="10"/>
      <c r="F491" s="8"/>
    </row>
    <row r="492" ht="14.25" customHeight="1">
      <c r="A492" s="10"/>
      <c r="F492" s="8"/>
    </row>
    <row r="493" ht="14.25" customHeight="1">
      <c r="A493" s="10"/>
      <c r="F493" s="8"/>
    </row>
    <row r="494" ht="14.25" customHeight="1">
      <c r="A494" s="10"/>
      <c r="F494" s="8"/>
    </row>
    <row r="495" ht="14.25" customHeight="1">
      <c r="A495" s="10"/>
      <c r="F495" s="8"/>
    </row>
    <row r="496" ht="14.25" customHeight="1">
      <c r="A496" s="10"/>
      <c r="F496" s="8"/>
    </row>
    <row r="497" ht="14.25" customHeight="1">
      <c r="A497" s="10"/>
      <c r="F497" s="8"/>
    </row>
    <row r="498" ht="14.25" customHeight="1">
      <c r="A498" s="10"/>
      <c r="F498" s="8"/>
    </row>
    <row r="499" ht="14.25" customHeight="1">
      <c r="A499" s="10"/>
      <c r="F499" s="8"/>
    </row>
    <row r="500" ht="14.25" customHeight="1">
      <c r="A500" s="10"/>
      <c r="F500" s="8"/>
    </row>
    <row r="501" ht="14.25" customHeight="1">
      <c r="A501" s="10"/>
      <c r="F501" s="8"/>
    </row>
    <row r="502" ht="14.25" customHeight="1">
      <c r="A502" s="10"/>
      <c r="F502" s="8"/>
    </row>
    <row r="503" ht="14.25" customHeight="1">
      <c r="A503" s="10"/>
      <c r="F503" s="8"/>
    </row>
    <row r="504" ht="14.25" customHeight="1">
      <c r="A504" s="10"/>
      <c r="F504" s="8"/>
    </row>
    <row r="505" ht="14.25" customHeight="1">
      <c r="A505" s="10"/>
      <c r="F505" s="8"/>
    </row>
    <row r="506" ht="14.25" customHeight="1">
      <c r="A506" s="10"/>
      <c r="F506" s="8"/>
    </row>
    <row r="507" ht="14.25" customHeight="1">
      <c r="A507" s="10"/>
      <c r="F507" s="8"/>
    </row>
    <row r="508" ht="14.25" customHeight="1">
      <c r="A508" s="10"/>
      <c r="F508" s="8"/>
    </row>
    <row r="509" ht="14.25" customHeight="1">
      <c r="A509" s="10"/>
      <c r="F509" s="8"/>
    </row>
    <row r="510" ht="14.25" customHeight="1">
      <c r="A510" s="10"/>
      <c r="F510" s="8"/>
    </row>
    <row r="511" ht="14.25" customHeight="1">
      <c r="A511" s="10"/>
      <c r="F511" s="8"/>
    </row>
    <row r="512" ht="14.25" customHeight="1">
      <c r="A512" s="10"/>
      <c r="F512" s="8"/>
    </row>
    <row r="513" ht="14.25" customHeight="1">
      <c r="A513" s="10"/>
      <c r="F513" s="8"/>
    </row>
    <row r="514" ht="14.25" customHeight="1">
      <c r="A514" s="10"/>
      <c r="F514" s="8"/>
    </row>
    <row r="515" ht="14.25" customHeight="1">
      <c r="A515" s="10"/>
      <c r="F515" s="8"/>
    </row>
    <row r="516" ht="14.25" customHeight="1">
      <c r="A516" s="10"/>
      <c r="F516" s="8"/>
    </row>
    <row r="517" ht="14.25" customHeight="1">
      <c r="A517" s="10"/>
      <c r="F517" s="8"/>
    </row>
    <row r="518" ht="14.25" customHeight="1">
      <c r="A518" s="10"/>
      <c r="F518" s="8"/>
    </row>
    <row r="519" ht="14.25" customHeight="1">
      <c r="A519" s="10"/>
      <c r="F519" s="8"/>
    </row>
    <row r="520" ht="14.25" customHeight="1">
      <c r="A520" s="10"/>
      <c r="F520" s="8"/>
    </row>
    <row r="521" ht="14.25" customHeight="1">
      <c r="A521" s="10"/>
      <c r="F521" s="8"/>
    </row>
    <row r="522" ht="14.25" customHeight="1">
      <c r="A522" s="10"/>
      <c r="F522" s="8"/>
    </row>
    <row r="523" ht="14.25" customHeight="1">
      <c r="A523" s="10"/>
      <c r="F523" s="8"/>
    </row>
    <row r="524" ht="14.25" customHeight="1">
      <c r="A524" s="10"/>
      <c r="F524" s="8"/>
    </row>
    <row r="525" ht="14.25" customHeight="1">
      <c r="A525" s="10"/>
      <c r="F525" s="8"/>
    </row>
    <row r="526" ht="14.25" customHeight="1">
      <c r="A526" s="10"/>
      <c r="F526" s="8"/>
    </row>
    <row r="527" ht="14.25" customHeight="1">
      <c r="A527" s="10"/>
      <c r="F527" s="8"/>
    </row>
    <row r="528" ht="14.25" customHeight="1">
      <c r="A528" s="10"/>
      <c r="F528" s="8"/>
    </row>
    <row r="529" ht="14.25" customHeight="1">
      <c r="A529" s="10"/>
      <c r="F529" s="8"/>
    </row>
    <row r="530" ht="14.25" customHeight="1">
      <c r="A530" s="10"/>
      <c r="F530" s="8"/>
    </row>
    <row r="531" ht="14.25" customHeight="1">
      <c r="A531" s="10"/>
      <c r="F531" s="8"/>
    </row>
    <row r="532" ht="14.25" customHeight="1">
      <c r="A532" s="10"/>
      <c r="F532" s="8"/>
    </row>
    <row r="533" ht="14.25" customHeight="1">
      <c r="A533" s="10"/>
      <c r="F533" s="8"/>
    </row>
    <row r="534" ht="14.25" customHeight="1">
      <c r="A534" s="10"/>
      <c r="F534" s="8"/>
    </row>
    <row r="535" ht="14.25" customHeight="1">
      <c r="A535" s="10"/>
      <c r="F535" s="8"/>
    </row>
    <row r="536" ht="14.25" customHeight="1">
      <c r="A536" s="10"/>
      <c r="F536" s="8"/>
    </row>
    <row r="537" ht="14.25" customHeight="1">
      <c r="A537" s="10"/>
      <c r="F537" s="8"/>
    </row>
    <row r="538" ht="14.25" customHeight="1">
      <c r="A538" s="10"/>
      <c r="F538" s="8"/>
    </row>
    <row r="539" ht="14.25" customHeight="1">
      <c r="A539" s="10"/>
      <c r="F539" s="8"/>
    </row>
    <row r="540" ht="14.25" customHeight="1">
      <c r="A540" s="10"/>
      <c r="F540" s="8"/>
    </row>
    <row r="541" ht="14.25" customHeight="1">
      <c r="A541" s="10"/>
      <c r="F541" s="8"/>
    </row>
    <row r="542" ht="14.25" customHeight="1">
      <c r="A542" s="10"/>
      <c r="F542" s="8"/>
    </row>
    <row r="543" ht="14.25" customHeight="1">
      <c r="A543" s="10"/>
      <c r="F543" s="8"/>
    </row>
    <row r="544" ht="14.25" customHeight="1">
      <c r="A544" s="10"/>
      <c r="F544" s="8"/>
    </row>
    <row r="545" ht="14.25" customHeight="1">
      <c r="A545" s="10"/>
      <c r="F545" s="8"/>
    </row>
    <row r="546" ht="14.25" customHeight="1">
      <c r="A546" s="10"/>
      <c r="F546" s="8"/>
    </row>
    <row r="547" ht="14.25" customHeight="1">
      <c r="A547" s="10"/>
      <c r="F547" s="8"/>
    </row>
    <row r="548" ht="14.25" customHeight="1">
      <c r="A548" s="10"/>
      <c r="F548" s="8"/>
    </row>
    <row r="549" ht="14.25" customHeight="1">
      <c r="A549" s="10"/>
      <c r="F549" s="8"/>
    </row>
    <row r="550" ht="14.25" customHeight="1">
      <c r="A550" s="10"/>
      <c r="F550" s="8"/>
    </row>
    <row r="551" ht="14.25" customHeight="1">
      <c r="A551" s="10"/>
      <c r="F551" s="8"/>
    </row>
    <row r="552" ht="14.25" customHeight="1">
      <c r="A552" s="10"/>
      <c r="F552" s="8"/>
    </row>
    <row r="553" ht="14.25" customHeight="1">
      <c r="A553" s="10"/>
      <c r="F553" s="8"/>
    </row>
    <row r="554" ht="14.25" customHeight="1">
      <c r="A554" s="10"/>
      <c r="F554" s="8"/>
    </row>
    <row r="555" ht="14.25" customHeight="1">
      <c r="A555" s="10"/>
      <c r="F555" s="8"/>
    </row>
    <row r="556" ht="14.25" customHeight="1">
      <c r="A556" s="10"/>
      <c r="F556" s="8"/>
    </row>
    <row r="557" ht="14.25" customHeight="1">
      <c r="A557" s="10"/>
      <c r="F557" s="8"/>
    </row>
    <row r="558" ht="14.25" customHeight="1">
      <c r="A558" s="10"/>
      <c r="F558" s="8"/>
    </row>
    <row r="559" ht="14.25" customHeight="1">
      <c r="A559" s="10"/>
      <c r="F559" s="8"/>
    </row>
    <row r="560" ht="14.25" customHeight="1">
      <c r="A560" s="10"/>
      <c r="F560" s="8"/>
    </row>
    <row r="561" ht="14.25" customHeight="1">
      <c r="A561" s="10"/>
      <c r="F561" s="8"/>
    </row>
    <row r="562" ht="14.25" customHeight="1">
      <c r="A562" s="10"/>
      <c r="F562" s="8"/>
    </row>
    <row r="563" ht="14.25" customHeight="1">
      <c r="A563" s="10"/>
      <c r="F563" s="8"/>
    </row>
    <row r="564" ht="14.25" customHeight="1">
      <c r="A564" s="10"/>
      <c r="F564" s="8"/>
    </row>
    <row r="565" ht="14.25" customHeight="1">
      <c r="A565" s="10"/>
      <c r="F565" s="8"/>
    </row>
    <row r="566" ht="14.25" customHeight="1">
      <c r="A566" s="10"/>
      <c r="F566" s="8"/>
    </row>
    <row r="567" ht="14.25" customHeight="1">
      <c r="A567" s="10"/>
      <c r="F567" s="8"/>
    </row>
    <row r="568" ht="14.25" customHeight="1">
      <c r="A568" s="10"/>
      <c r="F568" s="8"/>
    </row>
    <row r="569" ht="14.25" customHeight="1">
      <c r="A569" s="10"/>
      <c r="F569" s="8"/>
    </row>
    <row r="570" ht="14.25" customHeight="1">
      <c r="A570" s="10"/>
      <c r="F570" s="8"/>
    </row>
    <row r="571" ht="14.25" customHeight="1">
      <c r="A571" s="10"/>
      <c r="F571" s="8"/>
    </row>
    <row r="572" ht="14.25" customHeight="1">
      <c r="A572" s="10"/>
      <c r="F572" s="8"/>
    </row>
    <row r="573" ht="14.25" customHeight="1">
      <c r="A573" s="10"/>
      <c r="F573" s="8"/>
    </row>
    <row r="574" ht="14.25" customHeight="1">
      <c r="A574" s="10"/>
      <c r="F574" s="8"/>
    </row>
    <row r="575" ht="14.25" customHeight="1">
      <c r="A575" s="10"/>
      <c r="F575" s="8"/>
    </row>
    <row r="576" ht="14.25" customHeight="1">
      <c r="A576" s="10"/>
      <c r="F576" s="8"/>
    </row>
    <row r="577" ht="14.25" customHeight="1">
      <c r="A577" s="10"/>
      <c r="F577" s="8"/>
    </row>
    <row r="578" ht="14.25" customHeight="1">
      <c r="A578" s="10"/>
      <c r="F578" s="8"/>
    </row>
    <row r="579" ht="14.25" customHeight="1">
      <c r="A579" s="10"/>
      <c r="F579" s="8"/>
    </row>
    <row r="580" ht="14.25" customHeight="1">
      <c r="A580" s="10"/>
      <c r="F580" s="8"/>
    </row>
    <row r="581" ht="14.25" customHeight="1">
      <c r="A581" s="10"/>
      <c r="F581" s="8"/>
    </row>
    <row r="582" ht="14.25" customHeight="1">
      <c r="A582" s="10"/>
      <c r="F582" s="8"/>
    </row>
    <row r="583" ht="14.25" customHeight="1">
      <c r="A583" s="10"/>
      <c r="F583" s="8"/>
    </row>
    <row r="584" ht="14.25" customHeight="1">
      <c r="A584" s="10"/>
      <c r="F584" s="8"/>
    </row>
    <row r="585" ht="14.25" customHeight="1">
      <c r="A585" s="10"/>
      <c r="F585" s="8"/>
    </row>
    <row r="586" ht="14.25" customHeight="1">
      <c r="A586" s="10"/>
      <c r="F586" s="8"/>
    </row>
    <row r="587" ht="14.25" customHeight="1">
      <c r="A587" s="10"/>
      <c r="F587" s="8"/>
    </row>
    <row r="588" ht="14.25" customHeight="1">
      <c r="A588" s="10"/>
      <c r="F588" s="8"/>
    </row>
    <row r="589" ht="14.25" customHeight="1">
      <c r="A589" s="10"/>
      <c r="F589" s="8"/>
    </row>
    <row r="590" ht="14.25" customHeight="1">
      <c r="A590" s="10"/>
      <c r="F590" s="8"/>
    </row>
    <row r="591" ht="14.25" customHeight="1">
      <c r="A591" s="10"/>
      <c r="F591" s="8"/>
    </row>
    <row r="592" ht="14.25" customHeight="1">
      <c r="A592" s="10"/>
      <c r="F592" s="8"/>
    </row>
    <row r="593" ht="14.25" customHeight="1">
      <c r="A593" s="10"/>
      <c r="F593" s="8"/>
    </row>
    <row r="594" ht="14.25" customHeight="1">
      <c r="A594" s="10"/>
      <c r="F594" s="8"/>
    </row>
    <row r="595" ht="14.25" customHeight="1">
      <c r="A595" s="10"/>
      <c r="F595" s="8"/>
    </row>
    <row r="596" ht="14.25" customHeight="1">
      <c r="A596" s="10"/>
      <c r="F596" s="8"/>
    </row>
    <row r="597" ht="14.25" customHeight="1">
      <c r="A597" s="10"/>
      <c r="F597" s="8"/>
    </row>
    <row r="598" ht="14.25" customHeight="1">
      <c r="A598" s="10"/>
      <c r="F598" s="8"/>
    </row>
    <row r="599" ht="14.25" customHeight="1">
      <c r="A599" s="10"/>
      <c r="F599" s="8"/>
    </row>
    <row r="600" ht="14.25" customHeight="1">
      <c r="A600" s="10"/>
      <c r="F600" s="8"/>
    </row>
    <row r="601" ht="14.25" customHeight="1">
      <c r="A601" s="10"/>
      <c r="F601" s="8"/>
    </row>
    <row r="602" ht="14.25" customHeight="1">
      <c r="A602" s="10"/>
      <c r="F602" s="8"/>
    </row>
    <row r="603" ht="14.25" customHeight="1">
      <c r="A603" s="10"/>
      <c r="F603" s="8"/>
    </row>
    <row r="604" ht="14.25" customHeight="1">
      <c r="A604" s="10"/>
      <c r="F604" s="8"/>
    </row>
    <row r="605" ht="14.25" customHeight="1">
      <c r="A605" s="10"/>
      <c r="F605" s="8"/>
    </row>
    <row r="606" ht="14.25" customHeight="1">
      <c r="A606" s="10"/>
      <c r="F606" s="8"/>
    </row>
    <row r="607" ht="14.25" customHeight="1">
      <c r="A607" s="10"/>
      <c r="F607" s="8"/>
    </row>
    <row r="608" ht="14.25" customHeight="1">
      <c r="A608" s="10"/>
      <c r="F608" s="8"/>
    </row>
    <row r="609" ht="14.25" customHeight="1">
      <c r="A609" s="10"/>
      <c r="F609" s="8"/>
    </row>
    <row r="610" ht="14.25" customHeight="1">
      <c r="A610" s="10"/>
      <c r="F610" s="8"/>
    </row>
    <row r="611" ht="14.25" customHeight="1">
      <c r="A611" s="10"/>
      <c r="F611" s="8"/>
    </row>
    <row r="612" ht="14.25" customHeight="1">
      <c r="A612" s="10"/>
      <c r="F612" s="8"/>
    </row>
    <row r="613" ht="14.25" customHeight="1">
      <c r="A613" s="10"/>
      <c r="F613" s="8"/>
    </row>
    <row r="614" ht="14.25" customHeight="1">
      <c r="A614" s="10"/>
      <c r="F614" s="8"/>
    </row>
    <row r="615" ht="14.25" customHeight="1">
      <c r="A615" s="10"/>
      <c r="F615" s="8"/>
    </row>
    <row r="616" ht="14.25" customHeight="1">
      <c r="A616" s="10"/>
      <c r="F616" s="8"/>
    </row>
    <row r="617" ht="14.25" customHeight="1">
      <c r="A617" s="10"/>
      <c r="F617" s="8"/>
    </row>
    <row r="618" ht="14.25" customHeight="1">
      <c r="A618" s="10"/>
      <c r="F618" s="8"/>
    </row>
    <row r="619" ht="14.25" customHeight="1">
      <c r="A619" s="10"/>
      <c r="F619" s="8"/>
    </row>
    <row r="620" ht="14.25" customHeight="1">
      <c r="A620" s="10"/>
      <c r="F620" s="8"/>
    </row>
    <row r="621" ht="14.25" customHeight="1">
      <c r="A621" s="10"/>
      <c r="F621" s="8"/>
    </row>
    <row r="622" ht="14.25" customHeight="1">
      <c r="A622" s="10"/>
      <c r="F622" s="8"/>
    </row>
    <row r="623" ht="14.25" customHeight="1">
      <c r="A623" s="10"/>
      <c r="F623" s="8"/>
    </row>
    <row r="624" ht="14.25" customHeight="1">
      <c r="A624" s="10"/>
      <c r="F624" s="8"/>
    </row>
    <row r="625" ht="14.25" customHeight="1">
      <c r="A625" s="10"/>
      <c r="F625" s="8"/>
    </row>
    <row r="626" ht="14.25" customHeight="1">
      <c r="A626" s="10"/>
      <c r="F626" s="8"/>
    </row>
    <row r="627" ht="14.25" customHeight="1">
      <c r="A627" s="10"/>
      <c r="F627" s="8"/>
    </row>
    <row r="628" ht="14.25" customHeight="1">
      <c r="A628" s="10"/>
      <c r="F628" s="8"/>
    </row>
    <row r="629" ht="14.25" customHeight="1">
      <c r="A629" s="10"/>
      <c r="F629" s="8"/>
    </row>
    <row r="630" ht="14.25" customHeight="1">
      <c r="A630" s="10"/>
      <c r="F630" s="8"/>
    </row>
    <row r="631" ht="14.25" customHeight="1">
      <c r="A631" s="10"/>
      <c r="F631" s="8"/>
    </row>
    <row r="632" ht="14.25" customHeight="1">
      <c r="A632" s="10"/>
      <c r="F632" s="8"/>
    </row>
    <row r="633" ht="14.25" customHeight="1">
      <c r="A633" s="10"/>
      <c r="F633" s="8"/>
    </row>
    <row r="634" ht="14.25" customHeight="1">
      <c r="A634" s="10"/>
      <c r="F634" s="8"/>
    </row>
    <row r="635" ht="14.25" customHeight="1">
      <c r="A635" s="10"/>
      <c r="F635" s="8"/>
    </row>
    <row r="636" ht="14.25" customHeight="1">
      <c r="A636" s="10"/>
      <c r="F636" s="8"/>
    </row>
    <row r="637" ht="14.25" customHeight="1">
      <c r="A637" s="10"/>
      <c r="F637" s="8"/>
    </row>
    <row r="638" ht="14.25" customHeight="1">
      <c r="A638" s="10"/>
      <c r="F638" s="8"/>
    </row>
    <row r="639" ht="14.25" customHeight="1">
      <c r="A639" s="10"/>
      <c r="F639" s="8"/>
    </row>
    <row r="640" ht="14.25" customHeight="1">
      <c r="A640" s="10"/>
      <c r="F640" s="8"/>
    </row>
    <row r="641" ht="14.25" customHeight="1">
      <c r="A641" s="10"/>
      <c r="F641" s="8"/>
    </row>
    <row r="642" ht="14.25" customHeight="1">
      <c r="A642" s="10"/>
      <c r="F642" s="8"/>
    </row>
    <row r="643" ht="14.25" customHeight="1">
      <c r="A643" s="10"/>
      <c r="F643" s="8"/>
    </row>
    <row r="644" ht="14.25" customHeight="1">
      <c r="A644" s="10"/>
      <c r="F644" s="8"/>
    </row>
    <row r="645" ht="14.25" customHeight="1">
      <c r="A645" s="10"/>
      <c r="F645" s="8"/>
    </row>
    <row r="646" ht="14.25" customHeight="1">
      <c r="A646" s="10"/>
      <c r="F646" s="8"/>
    </row>
    <row r="647" ht="14.25" customHeight="1">
      <c r="A647" s="10"/>
      <c r="F647" s="8"/>
    </row>
    <row r="648" ht="14.25" customHeight="1">
      <c r="A648" s="10"/>
      <c r="F648" s="8"/>
    </row>
    <row r="649" ht="14.25" customHeight="1">
      <c r="A649" s="10"/>
      <c r="F649" s="8"/>
    </row>
    <row r="650" ht="14.25" customHeight="1">
      <c r="A650" s="10"/>
      <c r="F650" s="8"/>
    </row>
    <row r="651" ht="14.25" customHeight="1">
      <c r="A651" s="10"/>
      <c r="F651" s="8"/>
    </row>
    <row r="652" ht="14.25" customHeight="1">
      <c r="A652" s="10"/>
      <c r="F652" s="8"/>
    </row>
    <row r="653" ht="14.25" customHeight="1">
      <c r="A653" s="10"/>
      <c r="F653" s="8"/>
    </row>
    <row r="654" ht="14.25" customHeight="1">
      <c r="A654" s="10"/>
      <c r="F654" s="8"/>
    </row>
    <row r="655" ht="14.25" customHeight="1">
      <c r="A655" s="10"/>
      <c r="F655" s="8"/>
    </row>
    <row r="656" ht="14.25" customHeight="1">
      <c r="A656" s="10"/>
      <c r="F656" s="8"/>
    </row>
    <row r="657" ht="14.25" customHeight="1">
      <c r="A657" s="10"/>
      <c r="F657" s="8"/>
    </row>
    <row r="658" ht="14.25" customHeight="1">
      <c r="A658" s="10"/>
      <c r="F658" s="8"/>
    </row>
    <row r="659" ht="14.25" customHeight="1">
      <c r="A659" s="10"/>
      <c r="F659" s="8"/>
    </row>
    <row r="660" ht="14.25" customHeight="1">
      <c r="A660" s="10"/>
      <c r="F660" s="8"/>
    </row>
    <row r="661" ht="14.25" customHeight="1">
      <c r="A661" s="10"/>
      <c r="F661" s="8"/>
    </row>
    <row r="662" ht="14.25" customHeight="1">
      <c r="A662" s="10"/>
      <c r="F662" s="8"/>
    </row>
    <row r="663" ht="14.25" customHeight="1">
      <c r="A663" s="10"/>
      <c r="F663" s="8"/>
    </row>
    <row r="664" ht="14.25" customHeight="1">
      <c r="A664" s="10"/>
      <c r="F664" s="8"/>
    </row>
    <row r="665" ht="14.25" customHeight="1">
      <c r="A665" s="10"/>
      <c r="F665" s="8"/>
    </row>
    <row r="666" ht="14.25" customHeight="1">
      <c r="A666" s="10"/>
      <c r="F666" s="8"/>
    </row>
    <row r="667" ht="14.25" customHeight="1">
      <c r="A667" s="10"/>
      <c r="F667" s="8"/>
    </row>
    <row r="668" ht="14.25" customHeight="1">
      <c r="A668" s="10"/>
      <c r="F668" s="8"/>
    </row>
    <row r="669" ht="14.25" customHeight="1">
      <c r="A669" s="10"/>
      <c r="F669" s="8"/>
    </row>
    <row r="670" ht="14.25" customHeight="1">
      <c r="A670" s="10"/>
      <c r="F670" s="8"/>
    </row>
    <row r="671" ht="14.25" customHeight="1">
      <c r="A671" s="10"/>
      <c r="F671" s="8"/>
    </row>
    <row r="672" ht="14.25" customHeight="1">
      <c r="A672" s="10"/>
      <c r="F672" s="8"/>
    </row>
    <row r="673" ht="14.25" customHeight="1">
      <c r="A673" s="10"/>
      <c r="F673" s="8"/>
    </row>
    <row r="674" ht="14.25" customHeight="1">
      <c r="A674" s="10"/>
      <c r="F674" s="8"/>
    </row>
    <row r="675" ht="14.25" customHeight="1">
      <c r="A675" s="10"/>
      <c r="F675" s="8"/>
    </row>
    <row r="676" ht="14.25" customHeight="1">
      <c r="A676" s="10"/>
      <c r="F676" s="8"/>
    </row>
    <row r="677" ht="14.25" customHeight="1">
      <c r="A677" s="10"/>
      <c r="F677" s="8"/>
    </row>
    <row r="678" ht="14.25" customHeight="1">
      <c r="A678" s="10"/>
      <c r="F678" s="8"/>
    </row>
    <row r="679" ht="14.25" customHeight="1">
      <c r="A679" s="10"/>
      <c r="F679" s="8"/>
    </row>
    <row r="680" ht="14.25" customHeight="1">
      <c r="A680" s="10"/>
      <c r="F680" s="8"/>
    </row>
    <row r="681" ht="14.25" customHeight="1">
      <c r="A681" s="10"/>
      <c r="F681" s="8"/>
    </row>
    <row r="682" ht="14.25" customHeight="1">
      <c r="A682" s="10"/>
      <c r="F682" s="8"/>
    </row>
    <row r="683" ht="14.25" customHeight="1">
      <c r="A683" s="10"/>
      <c r="F683" s="8"/>
    </row>
    <row r="684" ht="14.25" customHeight="1">
      <c r="A684" s="10"/>
      <c r="F684" s="8"/>
    </row>
    <row r="685" ht="14.25" customHeight="1">
      <c r="A685" s="10"/>
      <c r="F685" s="8"/>
    </row>
    <row r="686" ht="14.25" customHeight="1">
      <c r="A686" s="10"/>
      <c r="F686" s="8"/>
    </row>
    <row r="687" ht="14.25" customHeight="1">
      <c r="A687" s="10"/>
      <c r="F687" s="8"/>
    </row>
    <row r="688" ht="14.25" customHeight="1">
      <c r="A688" s="10"/>
      <c r="F688" s="8"/>
    </row>
    <row r="689" ht="14.25" customHeight="1">
      <c r="A689" s="10"/>
      <c r="F689" s="8"/>
    </row>
    <row r="690" ht="14.25" customHeight="1">
      <c r="A690" s="10"/>
      <c r="F690" s="8"/>
    </row>
    <row r="691" ht="14.25" customHeight="1">
      <c r="A691" s="10"/>
      <c r="F691" s="8"/>
    </row>
    <row r="692" ht="14.25" customHeight="1">
      <c r="A692" s="10"/>
      <c r="F692" s="8"/>
    </row>
    <row r="693" ht="14.25" customHeight="1">
      <c r="A693" s="10"/>
      <c r="F693" s="8"/>
    </row>
    <row r="694" ht="14.25" customHeight="1">
      <c r="A694" s="10"/>
      <c r="F694" s="8"/>
    </row>
    <row r="695" ht="14.25" customHeight="1">
      <c r="A695" s="10"/>
      <c r="F695" s="8"/>
    </row>
    <row r="696" ht="14.25" customHeight="1">
      <c r="A696" s="10"/>
      <c r="F696" s="8"/>
    </row>
    <row r="697" ht="14.25" customHeight="1">
      <c r="A697" s="10"/>
      <c r="F697" s="8"/>
    </row>
    <row r="698" ht="14.25" customHeight="1">
      <c r="A698" s="10"/>
      <c r="F698" s="8"/>
    </row>
    <row r="699" ht="14.25" customHeight="1">
      <c r="A699" s="10"/>
      <c r="F699" s="8"/>
    </row>
    <row r="700" ht="14.25" customHeight="1">
      <c r="A700" s="10"/>
      <c r="F700" s="8"/>
    </row>
    <row r="701" ht="14.25" customHeight="1">
      <c r="A701" s="10"/>
      <c r="F701" s="8"/>
    </row>
    <row r="702" ht="14.25" customHeight="1">
      <c r="A702" s="10"/>
      <c r="F702" s="8"/>
    </row>
    <row r="703" ht="14.25" customHeight="1">
      <c r="A703" s="10"/>
      <c r="F703" s="8"/>
    </row>
    <row r="704" ht="14.25" customHeight="1">
      <c r="A704" s="10"/>
      <c r="F704" s="8"/>
    </row>
    <row r="705" ht="14.25" customHeight="1">
      <c r="A705" s="10"/>
      <c r="F705" s="8"/>
    </row>
    <row r="706" ht="14.25" customHeight="1">
      <c r="A706" s="10"/>
      <c r="F706" s="8"/>
    </row>
    <row r="707" ht="14.25" customHeight="1">
      <c r="A707" s="10"/>
      <c r="F707" s="8"/>
    </row>
    <row r="708" ht="14.25" customHeight="1">
      <c r="A708" s="10"/>
      <c r="F708" s="8"/>
    </row>
    <row r="709" ht="14.25" customHeight="1">
      <c r="A709" s="10"/>
      <c r="F709" s="8"/>
    </row>
    <row r="710" ht="14.25" customHeight="1">
      <c r="A710" s="10"/>
      <c r="F710" s="8"/>
    </row>
    <row r="711" ht="14.25" customHeight="1">
      <c r="A711" s="10"/>
      <c r="F711" s="8"/>
    </row>
    <row r="712" ht="14.25" customHeight="1">
      <c r="A712" s="10"/>
      <c r="F712" s="8"/>
    </row>
    <row r="713" ht="14.25" customHeight="1">
      <c r="A713" s="10"/>
      <c r="F713" s="8"/>
    </row>
    <row r="714" ht="14.25" customHeight="1">
      <c r="A714" s="10"/>
      <c r="F714" s="8"/>
    </row>
    <row r="715" ht="14.25" customHeight="1">
      <c r="A715" s="10"/>
      <c r="F715" s="8"/>
    </row>
    <row r="716" ht="14.25" customHeight="1">
      <c r="A716" s="10"/>
      <c r="F716" s="8"/>
    </row>
    <row r="717" ht="14.25" customHeight="1">
      <c r="A717" s="10"/>
      <c r="F717" s="8"/>
    </row>
    <row r="718" ht="14.25" customHeight="1">
      <c r="A718" s="10"/>
      <c r="F718" s="8"/>
    </row>
    <row r="719" ht="14.25" customHeight="1">
      <c r="A719" s="10"/>
      <c r="F719" s="8"/>
    </row>
    <row r="720" ht="14.25" customHeight="1">
      <c r="A720" s="10"/>
      <c r="F720" s="8"/>
    </row>
    <row r="721" ht="14.25" customHeight="1">
      <c r="A721" s="10"/>
      <c r="F721" s="8"/>
    </row>
    <row r="722" ht="14.25" customHeight="1">
      <c r="A722" s="10"/>
      <c r="F722" s="8"/>
    </row>
    <row r="723" ht="14.25" customHeight="1">
      <c r="A723" s="10"/>
      <c r="F723" s="8"/>
    </row>
    <row r="724" ht="14.25" customHeight="1">
      <c r="A724" s="10"/>
      <c r="F724" s="8"/>
    </row>
    <row r="725" ht="14.25" customHeight="1">
      <c r="A725" s="10"/>
      <c r="F725" s="8"/>
    </row>
    <row r="726" ht="14.25" customHeight="1">
      <c r="A726" s="10"/>
      <c r="F726" s="8"/>
    </row>
    <row r="727" ht="14.25" customHeight="1">
      <c r="A727" s="10"/>
      <c r="F727" s="8"/>
    </row>
    <row r="728" ht="14.25" customHeight="1">
      <c r="A728" s="10"/>
      <c r="F728" s="8"/>
    </row>
    <row r="729" ht="14.25" customHeight="1">
      <c r="A729" s="10"/>
      <c r="F729" s="8"/>
    </row>
    <row r="730" ht="14.25" customHeight="1">
      <c r="A730" s="10"/>
      <c r="F730" s="8"/>
    </row>
    <row r="731" ht="14.25" customHeight="1">
      <c r="A731" s="10"/>
      <c r="F731" s="8"/>
    </row>
    <row r="732" ht="14.25" customHeight="1">
      <c r="A732" s="10"/>
      <c r="F732" s="8"/>
    </row>
    <row r="733" ht="14.25" customHeight="1">
      <c r="A733" s="10"/>
      <c r="F733" s="8"/>
    </row>
    <row r="734" ht="14.25" customHeight="1">
      <c r="A734" s="10"/>
      <c r="F734" s="8"/>
    </row>
    <row r="735" ht="14.25" customHeight="1">
      <c r="A735" s="10"/>
      <c r="F735" s="8"/>
    </row>
    <row r="736" ht="14.25" customHeight="1">
      <c r="A736" s="10"/>
      <c r="F736" s="8"/>
    </row>
    <row r="737" ht="14.25" customHeight="1">
      <c r="A737" s="10"/>
      <c r="F737" s="8"/>
    </row>
    <row r="738" ht="14.25" customHeight="1">
      <c r="A738" s="10"/>
      <c r="F738" s="8"/>
    </row>
    <row r="739" ht="14.25" customHeight="1">
      <c r="A739" s="10"/>
      <c r="F739" s="8"/>
    </row>
    <row r="740" ht="14.25" customHeight="1">
      <c r="A740" s="10"/>
      <c r="F740" s="8"/>
    </row>
    <row r="741" ht="14.25" customHeight="1">
      <c r="A741" s="10"/>
      <c r="F741" s="8"/>
    </row>
    <row r="742" ht="14.25" customHeight="1">
      <c r="A742" s="10"/>
      <c r="F742" s="8"/>
    </row>
    <row r="743" ht="14.25" customHeight="1">
      <c r="A743" s="10"/>
      <c r="F743" s="8"/>
    </row>
    <row r="744" ht="14.25" customHeight="1">
      <c r="A744" s="10"/>
      <c r="F744" s="8"/>
    </row>
    <row r="745" ht="14.25" customHeight="1">
      <c r="A745" s="10"/>
      <c r="F745" s="8"/>
    </row>
    <row r="746" ht="14.25" customHeight="1">
      <c r="A746" s="10"/>
      <c r="F746" s="8"/>
    </row>
    <row r="747" ht="14.25" customHeight="1">
      <c r="A747" s="10"/>
      <c r="F747" s="8"/>
    </row>
    <row r="748" ht="14.25" customHeight="1">
      <c r="A748" s="10"/>
      <c r="F748" s="8"/>
    </row>
    <row r="749" ht="14.25" customHeight="1">
      <c r="A749" s="10"/>
      <c r="F749" s="8"/>
    </row>
    <row r="750" ht="14.25" customHeight="1">
      <c r="A750" s="10"/>
      <c r="F750" s="8"/>
    </row>
    <row r="751" ht="14.25" customHeight="1">
      <c r="A751" s="10"/>
      <c r="F751" s="8"/>
    </row>
    <row r="752" ht="14.25" customHeight="1">
      <c r="A752" s="10"/>
      <c r="F752" s="8"/>
    </row>
    <row r="753" ht="14.25" customHeight="1">
      <c r="A753" s="10"/>
      <c r="F753" s="8"/>
    </row>
    <row r="754" ht="14.25" customHeight="1">
      <c r="A754" s="10"/>
      <c r="F754" s="8"/>
    </row>
    <row r="755" ht="14.25" customHeight="1">
      <c r="A755" s="10"/>
      <c r="F755" s="8"/>
    </row>
    <row r="756" ht="14.25" customHeight="1">
      <c r="A756" s="10"/>
      <c r="F756" s="8"/>
    </row>
    <row r="757" ht="14.25" customHeight="1">
      <c r="A757" s="10"/>
      <c r="F757" s="8"/>
    </row>
    <row r="758" ht="14.25" customHeight="1">
      <c r="A758" s="10"/>
      <c r="F758" s="8"/>
    </row>
    <row r="759" ht="14.25" customHeight="1">
      <c r="A759" s="10"/>
      <c r="F759" s="8"/>
    </row>
    <row r="760" ht="14.25" customHeight="1">
      <c r="A760" s="10"/>
      <c r="F760" s="8"/>
    </row>
    <row r="761" ht="14.25" customHeight="1">
      <c r="A761" s="10"/>
      <c r="F761" s="8"/>
    </row>
    <row r="762" ht="14.25" customHeight="1">
      <c r="A762" s="10"/>
      <c r="F762" s="8"/>
    </row>
    <row r="763" ht="14.25" customHeight="1">
      <c r="A763" s="10"/>
      <c r="F763" s="8"/>
    </row>
    <row r="764" ht="14.25" customHeight="1">
      <c r="A764" s="10"/>
      <c r="F764" s="8"/>
    </row>
    <row r="765" ht="14.25" customHeight="1">
      <c r="A765" s="10"/>
      <c r="F765" s="8"/>
    </row>
    <row r="766" ht="14.25" customHeight="1">
      <c r="A766" s="10"/>
      <c r="F766" s="8"/>
    </row>
    <row r="767" ht="14.25" customHeight="1">
      <c r="A767" s="10"/>
      <c r="F767" s="8"/>
    </row>
    <row r="768" ht="14.25" customHeight="1">
      <c r="A768" s="10"/>
      <c r="F768" s="8"/>
    </row>
    <row r="769" ht="14.25" customHeight="1">
      <c r="A769" s="10"/>
      <c r="F769" s="8"/>
    </row>
    <row r="770" ht="14.25" customHeight="1">
      <c r="A770" s="10"/>
      <c r="F770" s="8"/>
    </row>
    <row r="771" ht="14.25" customHeight="1">
      <c r="A771" s="10"/>
      <c r="F771" s="8"/>
    </row>
    <row r="772" ht="14.25" customHeight="1">
      <c r="A772" s="10"/>
      <c r="F772" s="8"/>
    </row>
    <row r="773" ht="14.25" customHeight="1">
      <c r="A773" s="10"/>
      <c r="F773" s="8"/>
    </row>
    <row r="774" ht="14.25" customHeight="1">
      <c r="A774" s="10"/>
      <c r="F774" s="8"/>
    </row>
    <row r="775" ht="14.25" customHeight="1">
      <c r="A775" s="10"/>
      <c r="F775" s="8"/>
    </row>
    <row r="776" ht="14.25" customHeight="1">
      <c r="A776" s="10"/>
      <c r="F776" s="8"/>
    </row>
    <row r="777" ht="14.25" customHeight="1">
      <c r="A777" s="10"/>
      <c r="F777" s="8"/>
    </row>
    <row r="778" ht="14.25" customHeight="1">
      <c r="A778" s="10"/>
      <c r="F778" s="8"/>
    </row>
    <row r="779" ht="14.25" customHeight="1">
      <c r="A779" s="10"/>
      <c r="F779" s="8"/>
    </row>
    <row r="780" ht="14.25" customHeight="1">
      <c r="A780" s="10"/>
      <c r="F780" s="8"/>
    </row>
    <row r="781" ht="14.25" customHeight="1">
      <c r="A781" s="10"/>
      <c r="F781" s="8"/>
    </row>
    <row r="782" ht="14.25" customHeight="1">
      <c r="A782" s="10"/>
      <c r="F782" s="8"/>
    </row>
    <row r="783" ht="14.25" customHeight="1">
      <c r="A783" s="10"/>
      <c r="F783" s="8"/>
    </row>
    <row r="784" ht="14.25" customHeight="1">
      <c r="A784" s="10"/>
      <c r="F784" s="8"/>
    </row>
    <row r="785" ht="14.25" customHeight="1">
      <c r="A785" s="10"/>
      <c r="F785" s="8"/>
    </row>
    <row r="786" ht="14.25" customHeight="1">
      <c r="A786" s="10"/>
      <c r="F786" s="8"/>
    </row>
    <row r="787" ht="14.25" customHeight="1">
      <c r="A787" s="10"/>
      <c r="F787" s="8"/>
    </row>
    <row r="788" ht="14.25" customHeight="1">
      <c r="A788" s="10"/>
      <c r="F788" s="8"/>
    </row>
    <row r="789" ht="14.25" customHeight="1">
      <c r="A789" s="10"/>
      <c r="F789" s="8"/>
    </row>
    <row r="790" ht="14.25" customHeight="1">
      <c r="A790" s="10"/>
      <c r="F790" s="8"/>
    </row>
    <row r="791" ht="14.25" customHeight="1">
      <c r="A791" s="10"/>
      <c r="F791" s="8"/>
    </row>
    <row r="792" ht="14.25" customHeight="1">
      <c r="A792" s="10"/>
      <c r="F792" s="8"/>
    </row>
    <row r="793" ht="14.25" customHeight="1">
      <c r="A793" s="10"/>
      <c r="F793" s="8"/>
    </row>
    <row r="794" ht="14.25" customHeight="1">
      <c r="A794" s="10"/>
      <c r="F794" s="8"/>
    </row>
    <row r="795" ht="14.25" customHeight="1">
      <c r="A795" s="10"/>
      <c r="F795" s="8"/>
    </row>
    <row r="796" ht="14.25" customHeight="1">
      <c r="A796" s="10"/>
      <c r="F796" s="8"/>
    </row>
    <row r="797" ht="14.25" customHeight="1">
      <c r="A797" s="10"/>
      <c r="F797" s="8"/>
    </row>
    <row r="798" ht="14.25" customHeight="1">
      <c r="A798" s="10"/>
      <c r="F798" s="8"/>
    </row>
    <row r="799" ht="14.25" customHeight="1">
      <c r="A799" s="10"/>
      <c r="F799" s="8"/>
    </row>
    <row r="800" ht="14.25" customHeight="1">
      <c r="A800" s="10"/>
      <c r="F800" s="8"/>
    </row>
    <row r="801" ht="14.25" customHeight="1">
      <c r="A801" s="10"/>
      <c r="F801" s="8"/>
    </row>
    <row r="802" ht="14.25" customHeight="1">
      <c r="A802" s="10"/>
      <c r="F802" s="8"/>
    </row>
    <row r="803" ht="14.25" customHeight="1">
      <c r="A803" s="10"/>
      <c r="F803" s="8"/>
    </row>
    <row r="804" ht="14.25" customHeight="1">
      <c r="A804" s="10"/>
      <c r="F804" s="8"/>
    </row>
    <row r="805" ht="14.25" customHeight="1">
      <c r="A805" s="10"/>
      <c r="F805" s="8"/>
    </row>
    <row r="806" ht="14.25" customHeight="1">
      <c r="A806" s="10"/>
      <c r="F806" s="8"/>
    </row>
    <row r="807" ht="14.25" customHeight="1">
      <c r="A807" s="10"/>
      <c r="F807" s="8"/>
    </row>
    <row r="808" ht="14.25" customHeight="1">
      <c r="A808" s="10"/>
      <c r="F808" s="8"/>
    </row>
    <row r="809" ht="14.25" customHeight="1">
      <c r="A809" s="10"/>
      <c r="F809" s="8"/>
    </row>
    <row r="810" ht="14.25" customHeight="1">
      <c r="A810" s="10"/>
      <c r="F810" s="8"/>
    </row>
    <row r="811" ht="14.25" customHeight="1">
      <c r="A811" s="10"/>
      <c r="F811" s="8"/>
    </row>
    <row r="812" ht="14.25" customHeight="1">
      <c r="A812" s="10"/>
      <c r="F812" s="8"/>
    </row>
    <row r="813" ht="14.25" customHeight="1">
      <c r="A813" s="10"/>
      <c r="F813" s="8"/>
    </row>
    <row r="814" ht="14.25" customHeight="1">
      <c r="A814" s="10"/>
      <c r="F814" s="8"/>
    </row>
    <row r="815" ht="14.25" customHeight="1">
      <c r="A815" s="10"/>
      <c r="F815" s="8"/>
    </row>
    <row r="816" ht="14.25" customHeight="1">
      <c r="A816" s="10"/>
      <c r="F816" s="8"/>
    </row>
    <row r="817" ht="14.25" customHeight="1">
      <c r="A817" s="10"/>
      <c r="F817" s="8"/>
    </row>
    <row r="818" ht="14.25" customHeight="1">
      <c r="A818" s="10"/>
      <c r="F818" s="8"/>
    </row>
    <row r="819" ht="14.25" customHeight="1">
      <c r="A819" s="10"/>
      <c r="F819" s="8"/>
    </row>
    <row r="820" ht="14.25" customHeight="1">
      <c r="A820" s="10"/>
      <c r="F820" s="8"/>
    </row>
    <row r="821" ht="14.25" customHeight="1">
      <c r="A821" s="10"/>
      <c r="F821" s="8"/>
    </row>
    <row r="822" ht="14.25" customHeight="1">
      <c r="A822" s="10"/>
      <c r="F822" s="8"/>
    </row>
    <row r="823" ht="14.25" customHeight="1">
      <c r="A823" s="10"/>
      <c r="F823" s="8"/>
    </row>
    <row r="824" ht="14.25" customHeight="1">
      <c r="A824" s="10"/>
      <c r="F824" s="8"/>
    </row>
    <row r="825" ht="14.25" customHeight="1">
      <c r="A825" s="10"/>
      <c r="F825" s="8"/>
    </row>
    <row r="826" ht="14.25" customHeight="1">
      <c r="A826" s="10"/>
      <c r="F826" s="8"/>
    </row>
    <row r="827" ht="14.25" customHeight="1">
      <c r="A827" s="10"/>
      <c r="F827" s="8"/>
    </row>
    <row r="828" ht="14.25" customHeight="1">
      <c r="A828" s="10"/>
      <c r="F828" s="8"/>
    </row>
    <row r="829" ht="14.25" customHeight="1">
      <c r="A829" s="10"/>
      <c r="F829" s="8"/>
    </row>
    <row r="830" ht="14.25" customHeight="1">
      <c r="A830" s="10"/>
      <c r="F830" s="8"/>
    </row>
    <row r="831" ht="14.25" customHeight="1">
      <c r="A831" s="10"/>
      <c r="F831" s="8"/>
    </row>
    <row r="832" ht="14.25" customHeight="1">
      <c r="A832" s="10"/>
      <c r="F832" s="8"/>
    </row>
    <row r="833" ht="14.25" customHeight="1">
      <c r="A833" s="10"/>
      <c r="F833" s="8"/>
    </row>
    <row r="834" ht="14.25" customHeight="1">
      <c r="A834" s="10"/>
      <c r="F834" s="8"/>
    </row>
    <row r="835" ht="14.25" customHeight="1">
      <c r="A835" s="10"/>
      <c r="F835" s="8"/>
    </row>
    <row r="836" ht="14.25" customHeight="1">
      <c r="A836" s="10"/>
      <c r="F836" s="8"/>
    </row>
    <row r="837" ht="14.25" customHeight="1">
      <c r="A837" s="10"/>
      <c r="F837" s="8"/>
    </row>
    <row r="838" ht="14.25" customHeight="1">
      <c r="A838" s="10"/>
      <c r="F838" s="8"/>
    </row>
    <row r="839" ht="14.25" customHeight="1">
      <c r="A839" s="10"/>
      <c r="F839" s="8"/>
    </row>
    <row r="840" ht="14.25" customHeight="1">
      <c r="A840" s="10"/>
      <c r="F840" s="8"/>
    </row>
    <row r="841" ht="14.25" customHeight="1">
      <c r="A841" s="10"/>
      <c r="F841" s="8"/>
    </row>
    <row r="842" ht="14.25" customHeight="1">
      <c r="A842" s="10"/>
      <c r="F842" s="8"/>
    </row>
    <row r="843" ht="14.25" customHeight="1">
      <c r="A843" s="10"/>
      <c r="F843" s="8"/>
    </row>
    <row r="844" ht="14.25" customHeight="1">
      <c r="A844" s="10"/>
      <c r="F844" s="8"/>
    </row>
    <row r="845" ht="14.25" customHeight="1">
      <c r="A845" s="10"/>
      <c r="F845" s="8"/>
    </row>
    <row r="846" ht="14.25" customHeight="1">
      <c r="A846" s="10"/>
      <c r="F846" s="8"/>
    </row>
    <row r="847" ht="14.25" customHeight="1">
      <c r="A847" s="10"/>
      <c r="F847" s="8"/>
    </row>
    <row r="848" ht="14.25" customHeight="1">
      <c r="A848" s="10"/>
      <c r="F848" s="8"/>
    </row>
    <row r="849" ht="14.25" customHeight="1">
      <c r="A849" s="10"/>
      <c r="F849" s="8"/>
    </row>
    <row r="850" ht="14.25" customHeight="1">
      <c r="A850" s="10"/>
      <c r="F850" s="8"/>
    </row>
    <row r="851" ht="14.25" customHeight="1">
      <c r="A851" s="10"/>
      <c r="F851" s="8"/>
    </row>
    <row r="852" ht="14.25" customHeight="1">
      <c r="A852" s="10"/>
      <c r="F852" s="8"/>
    </row>
    <row r="853" ht="14.25" customHeight="1">
      <c r="A853" s="10"/>
      <c r="F853" s="8"/>
    </row>
    <row r="854" ht="14.25" customHeight="1">
      <c r="A854" s="10"/>
      <c r="F854" s="8"/>
    </row>
    <row r="855" ht="14.25" customHeight="1">
      <c r="A855" s="10"/>
      <c r="F855" s="8"/>
    </row>
    <row r="856" ht="14.25" customHeight="1">
      <c r="A856" s="10"/>
      <c r="F856" s="8"/>
    </row>
    <row r="857" ht="14.25" customHeight="1">
      <c r="A857" s="10"/>
      <c r="F857" s="8"/>
    </row>
    <row r="858" ht="14.25" customHeight="1">
      <c r="A858" s="10"/>
      <c r="F858" s="8"/>
    </row>
    <row r="859" ht="14.25" customHeight="1">
      <c r="A859" s="10"/>
      <c r="F859" s="8"/>
    </row>
    <row r="860" ht="14.25" customHeight="1">
      <c r="A860" s="10"/>
      <c r="F860" s="8"/>
    </row>
    <row r="861" ht="14.25" customHeight="1">
      <c r="A861" s="10"/>
      <c r="F861" s="8"/>
    </row>
    <row r="862" ht="14.25" customHeight="1">
      <c r="A862" s="10"/>
      <c r="F862" s="8"/>
    </row>
    <row r="863" ht="14.25" customHeight="1">
      <c r="A863" s="10"/>
      <c r="F863" s="8"/>
    </row>
    <row r="864" ht="14.25" customHeight="1">
      <c r="A864" s="10"/>
      <c r="F864" s="8"/>
    </row>
    <row r="865" ht="14.25" customHeight="1">
      <c r="A865" s="10"/>
      <c r="F865" s="8"/>
    </row>
    <row r="866" ht="14.25" customHeight="1">
      <c r="A866" s="10"/>
      <c r="F866" s="8"/>
    </row>
    <row r="867" ht="14.25" customHeight="1">
      <c r="A867" s="10"/>
      <c r="F867" s="8"/>
    </row>
    <row r="868" ht="14.25" customHeight="1">
      <c r="A868" s="10"/>
      <c r="F868" s="8"/>
    </row>
    <row r="869" ht="14.25" customHeight="1">
      <c r="A869" s="10"/>
      <c r="F869" s="8"/>
    </row>
    <row r="870" ht="14.25" customHeight="1">
      <c r="A870" s="10"/>
      <c r="F870" s="8"/>
    </row>
    <row r="871" ht="14.25" customHeight="1">
      <c r="A871" s="10"/>
      <c r="F871" s="8"/>
    </row>
    <row r="872" ht="14.25" customHeight="1">
      <c r="A872" s="10"/>
      <c r="F872" s="8"/>
    </row>
    <row r="873" ht="14.25" customHeight="1">
      <c r="A873" s="10"/>
      <c r="F873" s="8"/>
    </row>
    <row r="874" ht="14.25" customHeight="1">
      <c r="A874" s="10"/>
      <c r="F874" s="8"/>
    </row>
    <row r="875" ht="14.25" customHeight="1">
      <c r="A875" s="10"/>
      <c r="F875" s="8"/>
    </row>
    <row r="876" ht="14.25" customHeight="1">
      <c r="A876" s="10"/>
      <c r="F876" s="8"/>
    </row>
    <row r="877" ht="14.25" customHeight="1">
      <c r="A877" s="10"/>
      <c r="F877" s="8"/>
    </row>
    <row r="878" ht="14.25" customHeight="1">
      <c r="A878" s="10"/>
      <c r="F878" s="8"/>
    </row>
    <row r="879" ht="14.25" customHeight="1">
      <c r="A879" s="10"/>
      <c r="F879" s="8"/>
    </row>
    <row r="880" ht="14.25" customHeight="1">
      <c r="A880" s="10"/>
      <c r="F880" s="8"/>
    </row>
    <row r="881" ht="14.25" customHeight="1">
      <c r="A881" s="10"/>
      <c r="F881" s="8"/>
    </row>
    <row r="882" ht="14.25" customHeight="1">
      <c r="A882" s="10"/>
      <c r="F882" s="8"/>
    </row>
    <row r="883" ht="14.25" customHeight="1">
      <c r="A883" s="10"/>
      <c r="F883" s="8"/>
    </row>
    <row r="884" ht="14.25" customHeight="1">
      <c r="A884" s="10"/>
      <c r="F884" s="8"/>
    </row>
    <row r="885" ht="14.25" customHeight="1">
      <c r="A885" s="10"/>
      <c r="F885" s="8"/>
    </row>
    <row r="886" ht="14.25" customHeight="1">
      <c r="A886" s="10"/>
      <c r="F886" s="8"/>
    </row>
    <row r="887" ht="14.25" customHeight="1">
      <c r="A887" s="10"/>
      <c r="F887" s="8"/>
    </row>
    <row r="888" ht="14.25" customHeight="1">
      <c r="A888" s="10"/>
      <c r="F888" s="8"/>
    </row>
    <row r="889" ht="14.25" customHeight="1">
      <c r="A889" s="10"/>
      <c r="F889" s="8"/>
    </row>
    <row r="890" ht="14.25" customHeight="1">
      <c r="A890" s="10"/>
      <c r="F890" s="8"/>
    </row>
    <row r="891" ht="14.25" customHeight="1">
      <c r="A891" s="10"/>
      <c r="F891" s="8"/>
    </row>
    <row r="892" ht="14.25" customHeight="1">
      <c r="A892" s="10"/>
      <c r="F892" s="8"/>
    </row>
    <row r="893" ht="14.25" customHeight="1">
      <c r="A893" s="10"/>
      <c r="F893" s="8"/>
    </row>
    <row r="894" ht="14.25" customHeight="1">
      <c r="A894" s="10"/>
      <c r="F894" s="8"/>
    </row>
    <row r="895" ht="14.25" customHeight="1">
      <c r="A895" s="10"/>
      <c r="F895" s="8"/>
    </row>
    <row r="896" ht="14.25" customHeight="1">
      <c r="A896" s="10"/>
      <c r="F896" s="8"/>
    </row>
    <row r="897" ht="14.25" customHeight="1">
      <c r="A897" s="10"/>
      <c r="F897" s="8"/>
    </row>
    <row r="898" ht="14.25" customHeight="1">
      <c r="A898" s="10"/>
      <c r="F898" s="8"/>
    </row>
    <row r="899" ht="14.25" customHeight="1">
      <c r="A899" s="10"/>
      <c r="F899" s="8"/>
    </row>
    <row r="900" ht="14.25" customHeight="1">
      <c r="A900" s="10"/>
      <c r="F900" s="8"/>
    </row>
    <row r="901" ht="14.25" customHeight="1">
      <c r="A901" s="10"/>
      <c r="F901" s="8"/>
    </row>
    <row r="902" ht="14.25" customHeight="1">
      <c r="A902" s="10"/>
      <c r="F902" s="8"/>
    </row>
    <row r="903" ht="14.25" customHeight="1">
      <c r="A903" s="10"/>
      <c r="F903" s="8"/>
    </row>
    <row r="904" ht="14.25" customHeight="1">
      <c r="A904" s="10"/>
      <c r="F904" s="8"/>
    </row>
    <row r="905" ht="14.25" customHeight="1">
      <c r="A905" s="10"/>
      <c r="F905" s="8"/>
    </row>
    <row r="906" ht="14.25" customHeight="1">
      <c r="A906" s="10"/>
      <c r="F906" s="8"/>
    </row>
    <row r="907" ht="14.25" customHeight="1">
      <c r="A907" s="10"/>
      <c r="F907" s="8"/>
    </row>
    <row r="908" ht="14.25" customHeight="1">
      <c r="A908" s="10"/>
      <c r="F908" s="8"/>
    </row>
    <row r="909" ht="14.25" customHeight="1">
      <c r="A909" s="10"/>
      <c r="F909" s="8"/>
    </row>
    <row r="910" ht="14.25" customHeight="1">
      <c r="A910" s="10"/>
      <c r="F910" s="8"/>
    </row>
    <row r="911" ht="14.25" customHeight="1">
      <c r="A911" s="10"/>
      <c r="F911" s="8"/>
    </row>
    <row r="912" ht="14.25" customHeight="1">
      <c r="A912" s="10"/>
      <c r="F912" s="8"/>
    </row>
    <row r="913" ht="14.25" customHeight="1">
      <c r="A913" s="10"/>
      <c r="F913" s="8"/>
    </row>
    <row r="914" ht="14.25" customHeight="1">
      <c r="A914" s="10"/>
      <c r="F914" s="8"/>
    </row>
    <row r="915" ht="14.25" customHeight="1">
      <c r="A915" s="10"/>
      <c r="F915" s="8"/>
    </row>
    <row r="916" ht="14.25" customHeight="1">
      <c r="A916" s="10"/>
      <c r="F916" s="8"/>
    </row>
    <row r="917" ht="14.25" customHeight="1">
      <c r="A917" s="10"/>
      <c r="F917" s="8"/>
    </row>
    <row r="918" ht="14.25" customHeight="1">
      <c r="A918" s="10"/>
      <c r="F918" s="8"/>
    </row>
    <row r="919" ht="14.25" customHeight="1">
      <c r="A919" s="10"/>
      <c r="F919" s="8"/>
    </row>
    <row r="920" ht="14.25" customHeight="1">
      <c r="A920" s="10"/>
      <c r="F920" s="8"/>
    </row>
    <row r="921" ht="14.25" customHeight="1">
      <c r="A921" s="10"/>
      <c r="F921" s="8"/>
    </row>
    <row r="922" ht="14.25" customHeight="1">
      <c r="A922" s="10"/>
      <c r="F922" s="8"/>
    </row>
    <row r="923" ht="14.25" customHeight="1">
      <c r="A923" s="10"/>
      <c r="F923" s="8"/>
    </row>
    <row r="924" ht="14.25" customHeight="1">
      <c r="A924" s="10"/>
      <c r="F924" s="8"/>
    </row>
    <row r="925" ht="14.25" customHeight="1">
      <c r="A925" s="10"/>
      <c r="F925" s="8"/>
    </row>
    <row r="926" ht="14.25" customHeight="1">
      <c r="A926" s="10"/>
      <c r="F926" s="8"/>
    </row>
    <row r="927" ht="14.25" customHeight="1">
      <c r="A927" s="10"/>
      <c r="F927" s="8"/>
    </row>
    <row r="928" ht="14.25" customHeight="1">
      <c r="A928" s="10"/>
      <c r="F928" s="8"/>
    </row>
    <row r="929" ht="14.25" customHeight="1">
      <c r="A929" s="10"/>
      <c r="F929" s="8"/>
    </row>
    <row r="930" ht="14.25" customHeight="1">
      <c r="A930" s="10"/>
      <c r="F930" s="8"/>
    </row>
    <row r="931" ht="14.25" customHeight="1">
      <c r="A931" s="10"/>
      <c r="F931" s="8"/>
    </row>
    <row r="932" ht="14.25" customHeight="1">
      <c r="A932" s="10"/>
      <c r="F932" s="8"/>
    </row>
    <row r="933" ht="14.25" customHeight="1">
      <c r="A933" s="10"/>
      <c r="F933" s="8"/>
    </row>
    <row r="934" ht="14.25" customHeight="1">
      <c r="A934" s="10"/>
      <c r="F934" s="8"/>
    </row>
    <row r="935" ht="14.25" customHeight="1">
      <c r="A935" s="10"/>
      <c r="F935" s="8"/>
    </row>
    <row r="936" ht="14.25" customHeight="1">
      <c r="A936" s="10"/>
      <c r="F936" s="8"/>
    </row>
    <row r="937" ht="14.25" customHeight="1">
      <c r="A937" s="10"/>
      <c r="F937" s="8"/>
    </row>
    <row r="938" ht="14.25" customHeight="1">
      <c r="A938" s="10"/>
      <c r="F938" s="8"/>
    </row>
    <row r="939" ht="14.25" customHeight="1">
      <c r="A939" s="10"/>
      <c r="F939" s="8"/>
    </row>
    <row r="940" ht="14.25" customHeight="1">
      <c r="A940" s="10"/>
      <c r="F940" s="8"/>
    </row>
    <row r="941" ht="14.25" customHeight="1">
      <c r="A941" s="10"/>
      <c r="F941" s="8"/>
    </row>
    <row r="942" ht="14.25" customHeight="1">
      <c r="A942" s="10"/>
      <c r="F942" s="8"/>
    </row>
    <row r="943" ht="14.25" customHeight="1">
      <c r="A943" s="10"/>
      <c r="F943" s="8"/>
    </row>
    <row r="944" ht="14.25" customHeight="1">
      <c r="A944" s="10"/>
      <c r="F944" s="8"/>
    </row>
    <row r="945" ht="14.25" customHeight="1">
      <c r="A945" s="10"/>
      <c r="F945" s="8"/>
    </row>
    <row r="946" ht="14.25" customHeight="1">
      <c r="A946" s="10"/>
      <c r="F946" s="8"/>
    </row>
    <row r="947" ht="14.25" customHeight="1">
      <c r="A947" s="10"/>
      <c r="F947" s="8"/>
    </row>
    <row r="948" ht="14.25" customHeight="1">
      <c r="A948" s="10"/>
      <c r="F948" s="8"/>
    </row>
    <row r="949" ht="14.25" customHeight="1">
      <c r="A949" s="10"/>
      <c r="F949" s="8"/>
    </row>
    <row r="950" ht="14.25" customHeight="1">
      <c r="A950" s="10"/>
      <c r="F950" s="8"/>
    </row>
    <row r="951" ht="14.25" customHeight="1">
      <c r="A951" s="10"/>
      <c r="F951" s="8"/>
    </row>
    <row r="952" ht="14.25" customHeight="1">
      <c r="A952" s="10"/>
      <c r="F952" s="8"/>
    </row>
    <row r="953" ht="14.25" customHeight="1">
      <c r="A953" s="10"/>
      <c r="F953" s="8"/>
    </row>
    <row r="954" ht="14.25" customHeight="1">
      <c r="A954" s="10"/>
      <c r="F954" s="8"/>
    </row>
    <row r="955" ht="14.25" customHeight="1">
      <c r="A955" s="10"/>
      <c r="F955" s="8"/>
    </row>
    <row r="956" ht="14.25" customHeight="1">
      <c r="A956" s="10"/>
      <c r="F956" s="8"/>
    </row>
    <row r="957" ht="14.25" customHeight="1">
      <c r="A957" s="10"/>
      <c r="F957" s="8"/>
    </row>
    <row r="958" ht="14.25" customHeight="1">
      <c r="A958" s="10"/>
      <c r="F958" s="8"/>
    </row>
    <row r="959" ht="14.25" customHeight="1">
      <c r="A959" s="10"/>
      <c r="F959" s="8"/>
    </row>
    <row r="960" ht="14.25" customHeight="1">
      <c r="A960" s="10"/>
      <c r="F960" s="8"/>
    </row>
    <row r="961" ht="14.25" customHeight="1">
      <c r="A961" s="10"/>
      <c r="F961" s="8"/>
    </row>
    <row r="962" ht="14.25" customHeight="1">
      <c r="A962" s="10"/>
      <c r="F962" s="8"/>
    </row>
    <row r="963" ht="14.25" customHeight="1">
      <c r="A963" s="10"/>
      <c r="F963" s="8"/>
    </row>
    <row r="964" ht="14.25" customHeight="1">
      <c r="A964" s="10"/>
      <c r="F964" s="8"/>
    </row>
    <row r="965" ht="14.25" customHeight="1">
      <c r="A965" s="10"/>
      <c r="F965" s="8"/>
    </row>
    <row r="966" ht="14.25" customHeight="1">
      <c r="A966" s="10"/>
      <c r="F966" s="8"/>
    </row>
    <row r="967" ht="14.25" customHeight="1">
      <c r="A967" s="10"/>
      <c r="F967" s="8"/>
    </row>
    <row r="968" ht="14.25" customHeight="1">
      <c r="A968" s="10"/>
      <c r="F968" s="8"/>
    </row>
    <row r="969" ht="14.25" customHeight="1">
      <c r="A969" s="10"/>
      <c r="F969" s="8"/>
    </row>
    <row r="970" ht="14.25" customHeight="1">
      <c r="A970" s="10"/>
      <c r="F970" s="8"/>
    </row>
    <row r="971" ht="14.25" customHeight="1">
      <c r="A971" s="10"/>
      <c r="F971" s="8"/>
    </row>
    <row r="972" ht="14.25" customHeight="1">
      <c r="A972" s="10"/>
      <c r="F972" s="8"/>
    </row>
    <row r="973" ht="14.25" customHeight="1">
      <c r="A973" s="10"/>
      <c r="F973" s="8"/>
    </row>
    <row r="974" ht="14.25" customHeight="1">
      <c r="A974" s="10"/>
      <c r="F974" s="8"/>
    </row>
    <row r="975" ht="14.25" customHeight="1">
      <c r="A975" s="10"/>
      <c r="F975" s="8"/>
    </row>
    <row r="976" ht="14.25" customHeight="1">
      <c r="A976" s="10"/>
      <c r="F976" s="8"/>
    </row>
    <row r="977" ht="14.25" customHeight="1">
      <c r="A977" s="10"/>
      <c r="F977" s="8"/>
    </row>
    <row r="978" ht="14.25" customHeight="1">
      <c r="A978" s="10"/>
      <c r="F978" s="8"/>
    </row>
    <row r="979" ht="14.25" customHeight="1">
      <c r="A979" s="10"/>
      <c r="F979" s="8"/>
    </row>
    <row r="980" ht="14.25" customHeight="1">
      <c r="A980" s="10"/>
      <c r="F980" s="8"/>
    </row>
    <row r="981" ht="14.25" customHeight="1">
      <c r="A981" s="10"/>
      <c r="F981" s="8"/>
    </row>
    <row r="982" ht="14.25" customHeight="1">
      <c r="A982" s="10"/>
      <c r="F982" s="8"/>
    </row>
    <row r="983" ht="14.25" customHeight="1">
      <c r="A983" s="10"/>
      <c r="F983" s="8"/>
    </row>
    <row r="984" ht="14.25" customHeight="1">
      <c r="A984" s="10"/>
      <c r="F984" s="8"/>
    </row>
    <row r="985" ht="14.25" customHeight="1">
      <c r="A985" s="10"/>
      <c r="F985" s="8"/>
    </row>
    <row r="986" ht="14.25" customHeight="1">
      <c r="A986" s="10"/>
      <c r="F986" s="8"/>
    </row>
    <row r="987" ht="14.25" customHeight="1">
      <c r="A987" s="10"/>
      <c r="F987" s="8"/>
    </row>
    <row r="988" ht="14.25" customHeight="1">
      <c r="A988" s="10"/>
      <c r="F988" s="8"/>
    </row>
    <row r="989" ht="14.25" customHeight="1">
      <c r="A989" s="10"/>
      <c r="F989" s="8"/>
    </row>
    <row r="990" ht="14.25" customHeight="1">
      <c r="A990" s="10"/>
      <c r="F990" s="8"/>
    </row>
    <row r="991" ht="14.25" customHeight="1">
      <c r="A991" s="10"/>
      <c r="F991" s="8"/>
    </row>
    <row r="992" ht="14.25" customHeight="1">
      <c r="A992" s="10"/>
      <c r="F992" s="8"/>
    </row>
    <row r="993" ht="14.25" customHeight="1">
      <c r="A993" s="10"/>
      <c r="F993" s="8"/>
    </row>
    <row r="994" ht="14.25" customHeight="1">
      <c r="A994" s="10"/>
      <c r="F994" s="8"/>
    </row>
    <row r="995" ht="14.25" customHeight="1">
      <c r="A995" s="10"/>
      <c r="F995" s="8"/>
    </row>
    <row r="996" ht="14.25" customHeight="1">
      <c r="A996" s="10"/>
      <c r="F996" s="8"/>
    </row>
    <row r="997" ht="14.25" customHeight="1">
      <c r="A997" s="10"/>
      <c r="F997" s="8"/>
    </row>
    <row r="998" ht="14.25" customHeight="1">
      <c r="A998" s="10"/>
      <c r="F998" s="8"/>
    </row>
    <row r="999" ht="14.25" customHeight="1">
      <c r="A999" s="10"/>
      <c r="F999" s="8"/>
    </row>
    <row r="1000" ht="14.25" customHeight="1">
      <c r="A1000" s="10"/>
      <c r="F1000" s="8"/>
    </row>
  </sheetData>
  <mergeCells count="3">
    <mergeCell ref="A1:F1"/>
    <mergeCell ref="H2:M2"/>
    <mergeCell ref="O2:R2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6" width="8.71"/>
  </cols>
  <sheetData>
    <row r="1" ht="14.25" customHeight="1">
      <c r="A1" s="10" t="s">
        <v>0</v>
      </c>
      <c r="B1" s="12" t="s">
        <v>485</v>
      </c>
      <c r="C1" s="12" t="s">
        <v>486</v>
      </c>
      <c r="D1" s="12" t="s">
        <v>487</v>
      </c>
      <c r="E1" s="12" t="s">
        <v>488</v>
      </c>
      <c r="F1" s="12" t="s">
        <v>489</v>
      </c>
    </row>
    <row r="2" ht="14.25" customHeight="1">
      <c r="A2" s="10">
        <v>45846.0</v>
      </c>
      <c r="F2" s="12">
        <v>0.0</v>
      </c>
    </row>
    <row r="3" ht="14.25" customHeight="1">
      <c r="A3" s="10">
        <v>45847.0</v>
      </c>
      <c r="B3" s="12">
        <v>-0.0014847689056911584</v>
      </c>
      <c r="C3" s="12">
        <v>0.007475132594878531</v>
      </c>
      <c r="D3" s="12">
        <v>0.006219120334931105</v>
      </c>
      <c r="E3" s="12">
        <v>0.006948859955327791</v>
      </c>
      <c r="F3" s="12">
        <v>-0.025235823416073444</v>
      </c>
    </row>
    <row r="4" ht="14.25" customHeight="1">
      <c r="A4" s="10">
        <v>45848.0</v>
      </c>
      <c r="B4" s="12">
        <v>0.010288336876011162</v>
      </c>
      <c r="C4" s="12">
        <v>0.004424090704829631</v>
      </c>
      <c r="D4" s="12">
        <v>0.0</v>
      </c>
      <c r="E4" s="12">
        <v>-0.0017268193005057775</v>
      </c>
      <c r="F4" s="12">
        <v>0.014599508570288577</v>
      </c>
    </row>
    <row r="5" ht="14.25" customHeight="1">
      <c r="A5" s="10">
        <v>45849.0</v>
      </c>
      <c r="B5" s="12">
        <v>0.0</v>
      </c>
      <c r="C5" s="12">
        <v>0.0038950438835243517</v>
      </c>
      <c r="D5" s="12">
        <v>0.0</v>
      </c>
      <c r="E5" s="12">
        <v>0.0017268193005057775</v>
      </c>
      <c r="F5" s="12">
        <v>-0.037462391529792693</v>
      </c>
    </row>
    <row r="6" ht="14.25" customHeight="1">
      <c r="A6" s="10">
        <v>45852.0</v>
      </c>
      <c r="B6" s="12">
        <v>0.005771440177875231</v>
      </c>
      <c r="C6" s="12">
        <v>0.0033797406513800254</v>
      </c>
      <c r="D6" s="12">
        <v>-0.004136169186638394</v>
      </c>
      <c r="E6" s="12">
        <v>-0.0034605321095066977</v>
      </c>
      <c r="F6" s="12">
        <v>0.011581872549815131</v>
      </c>
    </row>
    <row r="7" ht="14.25" customHeight="1">
      <c r="A7" s="10">
        <v>45853.0</v>
      </c>
      <c r="B7" s="12">
        <v>-0.0043213737826421905</v>
      </c>
      <c r="C7" s="12">
        <v>4.8068016185798257E-4</v>
      </c>
      <c r="D7" s="12">
        <v>0.012292173804551165</v>
      </c>
      <c r="E7" s="12">
        <v>0.0017337128090009202</v>
      </c>
      <c r="F7" s="12">
        <v>0.0037929890171390923</v>
      </c>
    </row>
    <row r="8" ht="14.25" customHeight="1">
      <c r="A8" s="10">
        <v>45854.0</v>
      </c>
      <c r="B8" s="12">
        <v>-0.0014500663952330406</v>
      </c>
      <c r="C8" s="12">
        <v>-4.8068016185798257E-4</v>
      </c>
      <c r="D8" s="12">
        <v>-0.004058856476867767</v>
      </c>
      <c r="E8" s="12">
        <v>0.013626042600213495</v>
      </c>
      <c r="F8" s="12">
        <v>-0.015374861566954223</v>
      </c>
    </row>
    <row r="9" ht="14.25" customHeight="1">
      <c r="A9" s="10">
        <v>45855.0</v>
      </c>
      <c r="B9" s="12">
        <v>0.0028953072694140047</v>
      </c>
      <c r="C9" s="12">
        <v>4.8068016185798257E-4</v>
      </c>
      <c r="D9" s="12">
        <v>0.016012670246372984</v>
      </c>
      <c r="E9" s="12">
        <v>0.009946109855555996</v>
      </c>
      <c r="F9" s="12">
        <v>0.015374861566954223</v>
      </c>
    </row>
    <row r="10" ht="14.25" customHeight="1">
      <c r="A10" s="10">
        <v>45856.0</v>
      </c>
      <c r="B10" s="12">
        <v>-0.005810046276631287</v>
      </c>
      <c r="C10" s="12">
        <v>-0.002408738742134986</v>
      </c>
      <c r="D10" s="12">
        <v>0.03942309229532048</v>
      </c>
      <c r="E10" s="12">
        <v>-0.008272525965989708</v>
      </c>
      <c r="F10" s="12">
        <v>-0.023271342412988005</v>
      </c>
    </row>
    <row r="11" ht="14.25" customHeight="1">
      <c r="A11" s="10">
        <v>45859.0</v>
      </c>
      <c r="B11" s="12">
        <v>0.03103423373996872</v>
      </c>
      <c r="C11" s="12">
        <v>0.009082989468013558</v>
      </c>
      <c r="D11" s="12">
        <v>0.005350718384101505</v>
      </c>
      <c r="E11" s="12">
        <v>-0.005040224639523583</v>
      </c>
      <c r="F11" s="12">
        <v>-0.020393158641843545</v>
      </c>
    </row>
    <row r="12" ht="14.25" customHeight="1">
      <c r="A12" s="10">
        <v>45860.0</v>
      </c>
      <c r="B12" s="12">
        <v>-0.032498971998242254</v>
      </c>
      <c r="C12" s="12">
        <v>0.0018882398523869526</v>
      </c>
      <c r="D12" s="12">
        <v>-0.019950226954389638</v>
      </c>
      <c r="E12" s="12">
        <v>-0.008532582549750423</v>
      </c>
      <c r="F12" s="12">
        <v>0.012350438386429463</v>
      </c>
    </row>
    <row r="13" ht="14.25" customHeight="1">
      <c r="A13" s="10">
        <v>45861.0</v>
      </c>
      <c r="B13" s="12">
        <v>0.011581872549815131</v>
      </c>
      <c r="C13" s="12">
        <v>0.01754031198593964</v>
      </c>
      <c r="D13" s="12">
        <v>0.018173968928586248</v>
      </c>
      <c r="E13" s="12">
        <v>0.003433175838393865</v>
      </c>
      <c r="F13" s="12">
        <v>0.027521073651262995</v>
      </c>
    </row>
    <row r="14" ht="14.25" customHeight="1">
      <c r="A14" s="10">
        <v>45862.0</v>
      </c>
      <c r="B14" s="12">
        <v>-0.0014309551064490833</v>
      </c>
      <c r="C14" s="12">
        <v>0.0040525440111967015</v>
      </c>
      <c r="D14" s="12">
        <v>-0.003574460358298115</v>
      </c>
      <c r="E14" s="12">
        <v>0.005099406711356558</v>
      </c>
      <c r="F14" s="12">
        <v>-0.0155121661782478</v>
      </c>
    </row>
    <row r="15" ht="14.25" customHeight="1">
      <c r="A15" s="10">
        <v>45863.0</v>
      </c>
      <c r="B15" s="12">
        <v>-0.008686179185092513</v>
      </c>
      <c r="C15" s="12">
        <v>-0.0067754023466699564</v>
      </c>
      <c r="D15" s="12">
        <v>-0.009067019970327106</v>
      </c>
      <c r="E15" s="12">
        <v>-0.01199311465925712</v>
      </c>
      <c r="F15" s="12">
        <v>-0.020203386088286646</v>
      </c>
    </row>
    <row r="16" ht="14.25" customHeight="1">
      <c r="A16" s="10">
        <v>45866.0</v>
      </c>
      <c r="B16" s="12">
        <v>0.0</v>
      </c>
      <c r="C16" s="12">
        <v>0.005878099378906043</v>
      </c>
      <c r="D16" s="12">
        <v>0.038551418071147925</v>
      </c>
      <c r="E16" s="12">
        <v>0.0068937079479005625</v>
      </c>
      <c r="F16" s="12">
        <v>0.0</v>
      </c>
    </row>
    <row r="17" ht="14.25" customHeight="1">
      <c r="A17" s="10">
        <v>45867.0</v>
      </c>
      <c r="B17" s="12">
        <v>0.0043648054024503224</v>
      </c>
      <c r="C17" s="12">
        <v>-4.4934766750781563E-4</v>
      </c>
      <c r="D17" s="12">
        <v>0.008304162788579372</v>
      </c>
      <c r="E17" s="12">
        <v>0.016770210249893225</v>
      </c>
      <c r="F17" s="12">
        <v>0.012234456417011597</v>
      </c>
    </row>
    <row r="18" ht="14.25" customHeight="1">
      <c r="A18" s="10">
        <v>45868.0</v>
      </c>
      <c r="B18" s="12">
        <v>-0.0014500663952330406</v>
      </c>
      <c r="C18" s="12">
        <v>0.004027489283043195</v>
      </c>
      <c r="D18" s="12">
        <v>-0.015063746435876268</v>
      </c>
      <c r="E18" s="12">
        <v>0.0016419470669766234</v>
      </c>
      <c r="F18" s="12">
        <v>0.019654687996470077</v>
      </c>
    </row>
    <row r="19" ht="14.25" customHeight="1">
      <c r="A19" s="10">
        <v>45869.0</v>
      </c>
      <c r="B19" s="12">
        <v>-0.02082632831591935</v>
      </c>
      <c r="C19" s="12">
        <v>-0.004027489283043195</v>
      </c>
      <c r="D19" s="12">
        <v>-0.033628177463848274</v>
      </c>
      <c r="E19" s="12">
        <v>-0.01331275060551329</v>
      </c>
      <c r="F19" s="12">
        <v>0.003826407853052771</v>
      </c>
    </row>
    <row r="20" ht="14.25" customHeight="1">
      <c r="A20" s="10">
        <v>45870.0</v>
      </c>
      <c r="B20" s="12">
        <v>0.004547627750720817</v>
      </c>
      <c r="C20" s="12">
        <v>-0.0022537387469485637</v>
      </c>
      <c r="D20" s="12">
        <v>0.016254081394425857</v>
      </c>
      <c r="E20" s="12">
        <v>-0.02076703896676202</v>
      </c>
      <c r="F20" s="12">
        <v>0.0037929890171390923</v>
      </c>
    </row>
    <row r="21" ht="14.25" customHeight="1">
      <c r="A21" s="10">
        <v>45873.0</v>
      </c>
      <c r="B21" s="12">
        <v>0.0045005012266763345</v>
      </c>
      <c r="C21" s="12">
        <v>0.008502688023949823</v>
      </c>
      <c r="D21" s="12">
        <v>-0.016254081394425857</v>
      </c>
      <c r="E21" s="12">
        <v>-0.0071490417896642455</v>
      </c>
      <c r="F21" s="12">
        <v>-0.04366450105483155</v>
      </c>
    </row>
    <row r="22" ht="14.25" customHeight="1">
      <c r="A22" s="10">
        <v>45874.0</v>
      </c>
      <c r="B22" s="12">
        <v>0.004454341426249897</v>
      </c>
      <c r="C22" s="12">
        <v>-0.0026671188138793767</v>
      </c>
      <c r="D22" s="12">
        <v>-0.005556081944087854</v>
      </c>
      <c r="E22" s="12">
        <v>-0.010949180303132078</v>
      </c>
      <c r="F22" s="12">
        <v>0.012350438386429463</v>
      </c>
    </row>
    <row r="23" ht="14.25" customHeight="1">
      <c r="A23" s="10">
        <v>45875.0</v>
      </c>
      <c r="B23" s="12">
        <v>0.02020338608828709</v>
      </c>
      <c r="C23" s="12">
        <v>-0.005383884840802544</v>
      </c>
      <c r="D23" s="12">
        <v>0.012855320685587035</v>
      </c>
      <c r="E23" s="12">
        <v>0.0</v>
      </c>
      <c r="F23" s="12">
        <v>0.027521073651262995</v>
      </c>
    </row>
    <row r="24" ht="14.25" customHeight="1">
      <c r="A24" s="10">
        <v>45876.0</v>
      </c>
      <c r="B24" s="12">
        <v>0.009759837289156081</v>
      </c>
      <c r="C24" s="12">
        <v>9.019618650176753E-4</v>
      </c>
      <c r="D24" s="12">
        <v>0.015988105384130424</v>
      </c>
      <c r="E24" s="12">
        <v>0.02338381855448013</v>
      </c>
      <c r="F24" s="12">
        <v>0.011281010409688985</v>
      </c>
    </row>
    <row r="25" ht="14.25" customHeight="1">
      <c r="A25" s="10">
        <v>45877.0</v>
      </c>
      <c r="B25" s="12">
        <v>-0.008352074364765816</v>
      </c>
      <c r="C25" s="12">
        <v>9.000925126629866E-4</v>
      </c>
      <c r="D25" s="12">
        <v>-0.0035023938360705387</v>
      </c>
      <c r="E25" s="12">
        <v>-0.012434638251348051</v>
      </c>
      <c r="F25" s="12">
        <v>-0.015107418262741756</v>
      </c>
    </row>
    <row r="26" ht="14.25" customHeight="1">
      <c r="A26" s="10">
        <v>45880.0</v>
      </c>
      <c r="B26" s="12">
        <v>-0.021611149012677355</v>
      </c>
      <c r="C26" s="12">
        <v>0.002242103492511305</v>
      </c>
      <c r="D26" s="12">
        <v>-0.014299052311528282</v>
      </c>
      <c r="E26" s="12">
        <v>0.012434638251348051</v>
      </c>
      <c r="F26" s="12">
        <v>0.03328138719132845</v>
      </c>
    </row>
    <row r="27" ht="14.25" customHeight="1">
      <c r="A27" s="10">
        <v>45881.0</v>
      </c>
      <c r="B27" s="12">
        <v>-0.005949332513201178</v>
      </c>
      <c r="C27" s="12">
        <v>-0.0013438725996115508</v>
      </c>
      <c r="D27" s="12">
        <v>-0.02046305394768355</v>
      </c>
      <c r="E27" s="12">
        <v>-0.007061854487486752</v>
      </c>
      <c r="F27" s="12">
        <v>-0.00717858462712373</v>
      </c>
    </row>
    <row r="28" ht="14.25" customHeight="1">
      <c r="A28" s="10">
        <v>45882.0</v>
      </c>
      <c r="B28" s="12">
        <v>0.0014949910869512806</v>
      </c>
      <c r="C28" s="12">
        <v>-0.0036041242688247266</v>
      </c>
      <c r="D28" s="12">
        <v>0.0</v>
      </c>
      <c r="E28" s="12">
        <v>0.014010714442814542</v>
      </c>
      <c r="F28" s="12">
        <v>-0.0036342846550936336</v>
      </c>
    </row>
    <row r="29" ht="14.25" customHeight="1">
      <c r="A29" s="10">
        <v>45883.0</v>
      </c>
      <c r="B29" s="12">
        <v>-0.002995146229359591</v>
      </c>
      <c r="C29" s="12">
        <v>0.0031552410434327882</v>
      </c>
      <c r="D29" s="12">
        <v>-0.0019089898073314515</v>
      </c>
      <c r="E29" s="12">
        <v>-0.012234456417011597</v>
      </c>
      <c r="F29" s="12">
        <v>0.017874723769704115</v>
      </c>
    </row>
    <row r="30" ht="14.25" customHeight="1">
      <c r="A30" s="10">
        <v>45884.0</v>
      </c>
      <c r="B30" s="12">
        <v>0.0015001551424083104</v>
      </c>
      <c r="C30" s="12">
        <v>-0.0031552410434327882</v>
      </c>
      <c r="D30" s="12">
        <v>-0.00967288274248368</v>
      </c>
      <c r="E30" s="12">
        <v>0.0</v>
      </c>
      <c r="F30" s="12">
        <v>-0.05202900000401023</v>
      </c>
    </row>
    <row r="31" ht="14.25" customHeight="1">
      <c r="A31" s="10">
        <v>45888.0</v>
      </c>
      <c r="B31" s="12">
        <v>-0.013691677993876272</v>
      </c>
      <c r="C31" s="12">
        <v>-0.005921254036294954</v>
      </c>
      <c r="D31" s="12">
        <v>0.017259005441505604</v>
      </c>
      <c r="E31" s="12">
        <v>0.0</v>
      </c>
      <c r="F31" s="12">
        <v>-0.09691001300805624</v>
      </c>
    </row>
    <row r="32" ht="14.25" customHeight="1">
      <c r="A32" s="10">
        <v>45889.0</v>
      </c>
      <c r="B32" s="12">
        <v>0.004612020141957718</v>
      </c>
      <c r="C32" s="12">
        <v>0.01309983866341824</v>
      </c>
      <c r="D32" s="12">
        <v>0.0018760049987553984</v>
      </c>
      <c r="E32" s="12">
        <v>-0.01441773835442861</v>
      </c>
      <c r="F32" s="12">
        <v>0.0019695928629044346</v>
      </c>
    </row>
    <row r="33" ht="14.25" customHeight="1">
      <c r="A33" s="10">
        <v>45890.0</v>
      </c>
      <c r="B33" s="12">
        <v>-0.0015319045227473183</v>
      </c>
      <c r="C33" s="12">
        <v>0.024229879624500406</v>
      </c>
      <c r="D33" s="12">
        <v>-0.007553137890445871</v>
      </c>
      <c r="E33" s="12">
        <v>0.005462895701501935</v>
      </c>
      <c r="F33" s="12">
        <v>0.01354257331534292</v>
      </c>
    </row>
    <row r="34" ht="14.25" customHeight="1">
      <c r="A34" s="10">
        <v>45891.0</v>
      </c>
      <c r="B34" s="12">
        <v>-0.001537327204929273</v>
      </c>
      <c r="C34" s="12">
        <v>0.0</v>
      </c>
      <c r="D34" s="12">
        <v>0.0</v>
      </c>
      <c r="E34" s="12">
        <v>0.014240439114610481</v>
      </c>
      <c r="F34" s="12">
        <v>-0.03365239170276091</v>
      </c>
    </row>
    <row r="35" ht="14.25" customHeight="1">
      <c r="A35" s="10">
        <v>45894.0</v>
      </c>
      <c r="B35" s="12">
        <v>0.007632788414631442</v>
      </c>
      <c r="C35" s="12">
        <v>-0.00978853105428179</v>
      </c>
      <c r="D35" s="12">
        <v>-0.0038264078530532153</v>
      </c>
      <c r="E35" s="12">
        <v>0.0</v>
      </c>
      <c r="F35" s="12">
        <v>0.006131318051498358</v>
      </c>
    </row>
    <row r="36" ht="14.25" customHeight="1">
      <c r="A36" s="10">
        <v>45895.0</v>
      </c>
      <c r="B36" s="12">
        <v>0.00151059102523865</v>
      </c>
      <c r="C36" s="12">
        <v>-0.010896067805568954</v>
      </c>
      <c r="D36" s="12">
        <v>-0.005803576099240093</v>
      </c>
      <c r="E36" s="12">
        <v>-0.005285596461683806</v>
      </c>
      <c r="F36" s="12">
        <v>0.01397850033591963</v>
      </c>
    </row>
    <row r="37" ht="14.25" customHeight="1">
      <c r="A37" s="10">
        <v>45896.0</v>
      </c>
      <c r="B37" s="12">
        <v>0.011899223299707717</v>
      </c>
      <c r="C37" s="12">
        <v>0.007004901568658184</v>
      </c>
      <c r="D37" s="12">
        <v>0.03009303789997686</v>
      </c>
      <c r="E37" s="12">
        <v>-0.005350718384101061</v>
      </c>
      <c r="F37" s="12">
        <v>0.0019607007655277897</v>
      </c>
    </row>
    <row r="38" ht="14.25" customHeight="1">
      <c r="A38" s="10">
        <v>45897.0</v>
      </c>
      <c r="B38" s="12">
        <v>0.0029245530173165335</v>
      </c>
      <c r="C38" s="12">
        <v>-0.005682847330363394</v>
      </c>
      <c r="D38" s="12">
        <v>0.021275820532900447</v>
      </c>
      <c r="E38" s="12">
        <v>-0.005417465032294011</v>
      </c>
      <c r="F38" s="12">
        <v>-0.03248575408148513</v>
      </c>
    </row>
    <row r="39" ht="14.25" customHeight="1">
      <c r="A39" s="10">
        <v>45898.0</v>
      </c>
      <c r="B39" s="12">
        <v>0.008657319532498597</v>
      </c>
      <c r="C39" s="12">
        <v>-0.004867335002944451</v>
      </c>
      <c r="D39" s="12">
        <v>-0.006976768221372165</v>
      </c>
      <c r="E39" s="12">
        <v>-0.011041979922118639</v>
      </c>
      <c r="F39" s="12">
        <v>-0.002113359313399066</v>
      </c>
    </row>
    <row r="40" ht="14.25" customHeight="1">
      <c r="A40" s="10">
        <v>45901.0</v>
      </c>
      <c r="B40" s="12">
        <v>0.022276394711151948</v>
      </c>
      <c r="C40" s="12">
        <v>0.001332874136445561</v>
      </c>
      <c r="D40" s="12">
        <v>0.0035023938360705387</v>
      </c>
      <c r="E40" s="12">
        <v>-0.01133006383289592</v>
      </c>
      <c r="F40" s="12">
        <v>0.0063094739070073125</v>
      </c>
    </row>
    <row r="41" ht="14.25" customHeight="1">
      <c r="A41" s="10">
        <v>45902.0</v>
      </c>
      <c r="B41" s="12">
        <v>0.03517949647096774</v>
      </c>
      <c r="C41" s="12">
        <v>0.0245770636060767</v>
      </c>
      <c r="D41" s="12">
        <v>0.01373377623555827</v>
      </c>
      <c r="E41" s="12">
        <v>0.03314022717140963</v>
      </c>
      <c r="F41" s="12">
        <v>-0.01703333929878026</v>
      </c>
    </row>
    <row r="42" ht="14.25" customHeight="1">
      <c r="A42" s="10">
        <v>45903.0</v>
      </c>
      <c r="B42" s="12">
        <v>0.001249769155707181</v>
      </c>
      <c r="C42" s="12">
        <v>-0.005059798769402768</v>
      </c>
      <c r="D42" s="12">
        <v>-0.0033929428973396014</v>
      </c>
      <c r="E42" s="12">
        <v>0.008773924307504899</v>
      </c>
      <c r="F42" s="12">
        <v>0.010723865391772947</v>
      </c>
    </row>
    <row r="43" ht="14.25" customHeight="1">
      <c r="A43" s="10">
        <v>45904.0</v>
      </c>
      <c r="B43" s="12">
        <v>-0.011379545743498642</v>
      </c>
      <c r="C43" s="12">
        <v>-0.004262001642494795</v>
      </c>
      <c r="D43" s="12">
        <v>0.011761110885790238</v>
      </c>
      <c r="E43" s="12">
        <v>0.0</v>
      </c>
      <c r="F43" s="12">
        <v>0.010465433678164882</v>
      </c>
    </row>
    <row r="44" ht="14.25" customHeight="1">
      <c r="A44" s="10">
        <v>45908.0</v>
      </c>
      <c r="B44" s="12">
        <v>0.02730750370257562</v>
      </c>
      <c r="C44" s="12">
        <v>0.018447712701850527</v>
      </c>
      <c r="D44" s="12">
        <v>0.0033026355500860305</v>
      </c>
      <c r="E44" s="12">
        <v>-0.012333735073725371</v>
      </c>
      <c r="F44" s="12">
        <v>0.004116566194832139</v>
      </c>
    </row>
    <row r="45" ht="14.25" customHeight="1">
      <c r="A45" s="10">
        <v>45909.0</v>
      </c>
      <c r="B45" s="12">
        <v>0.005973883488752829</v>
      </c>
      <c r="C45" s="12">
        <v>0.01214322766299425</v>
      </c>
      <c r="D45" s="12">
        <v>0.009759837289156081</v>
      </c>
      <c r="E45" s="12">
        <v>0.0053288335050671876</v>
      </c>
      <c r="F45" s="12">
        <v>0.0</v>
      </c>
    </row>
    <row r="46" ht="14.25" customHeight="1">
      <c r="A46" s="10">
        <v>45910.0</v>
      </c>
      <c r="B46" s="12">
        <v>-0.018173968928586692</v>
      </c>
      <c r="C46" s="12">
        <v>-0.013788284485634072</v>
      </c>
      <c r="D46" s="12">
        <v>-0.01639041618816961</v>
      </c>
      <c r="E46" s="12">
        <v>0.0</v>
      </c>
      <c r="F46" s="12">
        <v>-0.025305865264769967</v>
      </c>
    </row>
    <row r="47" ht="14.25" customHeight="1">
      <c r="A47" s="10">
        <v>45911.0</v>
      </c>
      <c r="B47" s="12">
        <v>-0.015107418262741756</v>
      </c>
      <c r="C47" s="12">
        <v>0.002874773024813315</v>
      </c>
      <c r="D47" s="12">
        <v>-0.01703333929878026</v>
      </c>
      <c r="E47" s="12">
        <v>-0.003545280764649661</v>
      </c>
      <c r="F47" s="12">
        <v>0.0</v>
      </c>
    </row>
    <row r="48" ht="14.25" customHeight="1">
      <c r="A48" s="10">
        <v>45912.0</v>
      </c>
      <c r="B48" s="12">
        <v>0.012625728756097576</v>
      </c>
      <c r="C48" s="12">
        <v>-8.194237938559112E-4</v>
      </c>
      <c r="D48" s="12">
        <v>0.005180512503780488</v>
      </c>
      <c r="E48" s="12">
        <v>0.003545280764649661</v>
      </c>
      <c r="F48" s="12">
        <v>0.0</v>
      </c>
    </row>
    <row r="49" ht="14.25" customHeight="1">
      <c r="A49" s="10">
        <v>45915.0</v>
      </c>
      <c r="B49" s="12">
        <v>0.0</v>
      </c>
      <c r="C49" s="12">
        <v>-0.0028802202897644236</v>
      </c>
      <c r="D49" s="12">
        <v>-0.0017199803942737901</v>
      </c>
      <c r="E49" s="12">
        <v>0.005264239992357034</v>
      </c>
      <c r="F49" s="12">
        <v>0.008600171761917519</v>
      </c>
    </row>
    <row r="50" ht="14.25" customHeight="1">
      <c r="A50" s="10">
        <v>45916.0</v>
      </c>
      <c r="B50" s="12">
        <v>0.013477073808107587</v>
      </c>
      <c r="C50" s="12">
        <v>0.006555512874816927</v>
      </c>
      <c r="D50" s="12">
        <v>0.003433175838393865</v>
      </c>
      <c r="E50" s="12">
        <v>0.018774000875081853</v>
      </c>
      <c r="F50" s="12">
        <v>0.0021236936298554276</v>
      </c>
    </row>
    <row r="51" ht="14.25" customHeight="1">
      <c r="A51" s="10">
        <v>45917.0</v>
      </c>
      <c r="B51" s="12">
        <v>-0.01722640197451053</v>
      </c>
      <c r="C51" s="12">
        <v>0.004852502794411961</v>
      </c>
      <c r="D51" s="12">
        <v>-0.008634369524201713</v>
      </c>
      <c r="E51" s="12">
        <v>0.006630578899013084</v>
      </c>
      <c r="F51" s="12">
        <v>0.010465433678164882</v>
      </c>
    </row>
    <row r="52" ht="14.25" customHeight="1">
      <c r="A52" s="10">
        <v>45918.0</v>
      </c>
      <c r="B52" s="12">
        <v>-0.005049992736641862</v>
      </c>
      <c r="C52" s="12">
        <v>-0.009759837289156081</v>
      </c>
      <c r="D52" s="12">
        <v>-0.02145100108563236</v>
      </c>
      <c r="E52" s="12">
        <v>-0.011670803538536667</v>
      </c>
      <c r="F52" s="12">
        <v>-0.010465433678164882</v>
      </c>
    </row>
    <row r="53" ht="14.25" customHeight="1">
      <c r="A53" s="10">
        <v>45919.0</v>
      </c>
      <c r="B53" s="12">
        <v>0.0037929890171390923</v>
      </c>
      <c r="C53" s="12">
        <v>0.005719859487416379</v>
      </c>
      <c r="D53" s="12">
        <v>0.0018286110464078575</v>
      </c>
      <c r="E53" s="12">
        <v>0.003366640749957295</v>
      </c>
      <c r="F53" s="12">
        <v>0.0</v>
      </c>
    </row>
    <row r="54" ht="14.25" customHeight="1">
      <c r="A54" s="10">
        <v>45922.0</v>
      </c>
      <c r="B54" s="12">
        <v>0.016063931570600598</v>
      </c>
      <c r="C54" s="12">
        <v>0.0</v>
      </c>
      <c r="D54" s="12">
        <v>0.02482358372503235</v>
      </c>
      <c r="E54" s="12">
        <v>0.0066559844085061215</v>
      </c>
      <c r="F54" s="12">
        <v>0.024705872792775363</v>
      </c>
    </row>
    <row r="55" ht="14.25" customHeight="1">
      <c r="A55" s="10">
        <v>45923.0</v>
      </c>
      <c r="B55" s="12">
        <v>0.010783037608214752</v>
      </c>
      <c r="C55" s="12">
        <v>0.0072451176769519066</v>
      </c>
      <c r="D55" s="12">
        <v>-0.012234456417011597</v>
      </c>
      <c r="E55" s="12">
        <v>-0.0016544571700123356</v>
      </c>
      <c r="F55" s="12">
        <v>0.007932539836581043</v>
      </c>
    </row>
    <row r="56" ht="14.25" customHeight="1">
      <c r="A56" s="10">
        <v>45924.0</v>
      </c>
      <c r="B56" s="12">
        <v>-0.024336589461215752</v>
      </c>
      <c r="C56" s="12">
        <v>-0.008871690671607979</v>
      </c>
      <c r="D56" s="12">
        <v>-0.031231237364078623</v>
      </c>
      <c r="E56" s="12">
        <v>0.0016544571700123356</v>
      </c>
      <c r="F56" s="12">
        <v>-0.003948158844992111</v>
      </c>
    </row>
    <row r="57" ht="14.25" customHeight="1">
      <c r="A57" s="10">
        <v>45925.0</v>
      </c>
      <c r="B57" s="12">
        <v>-0.03927021257312191</v>
      </c>
      <c r="C57" s="12">
        <v>4.0721473391602814E-4</v>
      </c>
      <c r="D57" s="12">
        <v>-0.04196450154353615</v>
      </c>
      <c r="E57" s="12">
        <v>0.006555512874817371</v>
      </c>
      <c r="F57" s="12">
        <v>0.03246788812998824</v>
      </c>
    </row>
    <row r="58" ht="14.25" customHeight="1">
      <c r="A58" s="10">
        <v>45926.0</v>
      </c>
      <c r="B58" s="12">
        <v>0.005445770187120225</v>
      </c>
      <c r="C58" s="12">
        <v>-0.0053238085479421215</v>
      </c>
      <c r="D58" s="12">
        <v>0.030382628993721017</v>
      </c>
      <c r="E58" s="12">
        <v>0.004852502794411961</v>
      </c>
      <c r="F58" s="12">
        <v>-0.01497715596965321</v>
      </c>
    </row>
    <row r="59" ht="14.25" customHeight="1">
      <c r="A59" s="10">
        <v>45929.0</v>
      </c>
      <c r="B59" s="12">
        <v>0.01200890747301564</v>
      </c>
      <c r="C59" s="12">
        <v>0.009375092421453957</v>
      </c>
      <c r="D59" s="12">
        <v>-0.003930293628432668</v>
      </c>
      <c r="E59" s="12">
        <v>0.011116004905461274</v>
      </c>
      <c r="F59" s="12">
        <v>0.005677132891690917</v>
      </c>
    </row>
    <row r="60" ht="14.25" customHeight="1">
      <c r="A60" s="10">
        <v>45930.0</v>
      </c>
      <c r="B60" s="12">
        <v>-0.01882685725948363</v>
      </c>
      <c r="C60" s="12">
        <v>-0.002426232466126166</v>
      </c>
      <c r="D60" s="12">
        <v>-0.018140225524513554</v>
      </c>
      <c r="E60" s="12">
        <v>-0.004729206244060702</v>
      </c>
      <c r="F60" s="12">
        <v>-0.017259005441506048</v>
      </c>
    </row>
    <row r="61" ht="14.25" customHeight="1">
      <c r="A61" s="10">
        <v>45931.0</v>
      </c>
      <c r="B61" s="12">
        <v>0.006817949786467992</v>
      </c>
      <c r="C61" s="12">
        <v>-0.011921751868349872</v>
      </c>
      <c r="D61" s="12">
        <v>-0.010415234928539352</v>
      </c>
      <c r="E61" s="12">
        <v>0.007853640453209465</v>
      </c>
      <c r="F61" s="12">
        <v>-0.005908859610519901</v>
      </c>
    </row>
    <row r="62" ht="14.25" customHeight="1">
      <c r="A62" s="10">
        <v>45932.0</v>
      </c>
      <c r="B62" s="12">
        <v>-0.013744643378034382</v>
      </c>
      <c r="C62" s="12">
        <v>0.0016639655677499476</v>
      </c>
      <c r="D62" s="12">
        <v>0.012468640559597954</v>
      </c>
      <c r="E62" s="12">
        <v>0.007714136773440128</v>
      </c>
      <c r="F62" s="12">
        <v>0.005908859610519901</v>
      </c>
    </row>
    <row r="63" ht="14.25" customHeight="1">
      <c r="A63" s="10">
        <v>45933.0</v>
      </c>
      <c r="B63" s="12">
        <v>0.012389589293068326</v>
      </c>
      <c r="C63" s="12">
        <v>0.005774180733514989</v>
      </c>
      <c r="D63" s="12">
        <v>0.0</v>
      </c>
      <c r="E63" s="12">
        <v>0.02812428845526771</v>
      </c>
      <c r="F63" s="12">
        <v>-0.003930293628432224</v>
      </c>
    </row>
    <row r="64" ht="14.25" customHeight="1">
      <c r="A64" s="10">
        <v>45936.0</v>
      </c>
      <c r="B64" s="12">
        <v>-0.0013592952627248245</v>
      </c>
      <c r="C64" s="12">
        <v>-0.0016419470669770675</v>
      </c>
      <c r="D64" s="12">
        <v>0.0020437425099864015</v>
      </c>
      <c r="E64" s="12">
        <v>0.0</v>
      </c>
      <c r="F64" s="12">
        <v>-0.003966187217601558</v>
      </c>
    </row>
    <row r="65" ht="14.25" customHeight="1">
      <c r="A65" s="10">
        <v>45937.0</v>
      </c>
      <c r="B65" s="12">
        <v>-0.006861034983966174</v>
      </c>
      <c r="C65" s="12">
        <v>-0.013363961557981696</v>
      </c>
      <c r="D65" s="12">
        <v>0.021868414895425126</v>
      </c>
      <c r="E65" s="12">
        <v>0.023707349817600587</v>
      </c>
      <c r="F65" s="12">
        <v>-0.0019967597560750505</v>
      </c>
    </row>
    <row r="66" ht="14.25" customHeight="1">
      <c r="A66" s="10">
        <v>45938.0</v>
      </c>
      <c r="B66" s="12">
        <v>0.02551458543310492</v>
      </c>
      <c r="C66" s="12">
        <v>-0.007270486086193628</v>
      </c>
      <c r="D66" s="12">
        <v>0.007686828666291223</v>
      </c>
      <c r="E66" s="12">
        <v>-0.005462895701501935</v>
      </c>
      <c r="F66" s="12">
        <v>0.0019967597560750505</v>
      </c>
    </row>
    <row r="67" ht="14.25" customHeight="1">
      <c r="A67" s="10"/>
    </row>
    <row r="68" ht="14.25" customHeight="1">
      <c r="A68" s="10"/>
    </row>
    <row r="69" ht="14.25" customHeight="1">
      <c r="A69" s="10"/>
    </row>
    <row r="70" ht="14.25" customHeight="1">
      <c r="A70" s="10"/>
    </row>
    <row r="71" ht="14.25" customHeight="1">
      <c r="A71" s="10"/>
    </row>
    <row r="72" ht="14.25" customHeight="1">
      <c r="A72" s="10"/>
    </row>
    <row r="73" ht="14.25" customHeight="1">
      <c r="A73" s="10"/>
    </row>
    <row r="74" ht="14.25" customHeight="1">
      <c r="A74" s="10"/>
    </row>
    <row r="75" ht="14.25" customHeight="1">
      <c r="A75" s="10"/>
    </row>
    <row r="76" ht="14.25" customHeight="1">
      <c r="A76" s="10"/>
    </row>
    <row r="77" ht="14.25" customHeight="1">
      <c r="A77" s="10"/>
    </row>
    <row r="78" ht="14.25" customHeight="1">
      <c r="A78" s="10"/>
    </row>
    <row r="79" ht="14.25" customHeight="1">
      <c r="A79" s="10"/>
    </row>
    <row r="80" ht="14.25" customHeight="1">
      <c r="A80" s="10"/>
    </row>
    <row r="81" ht="14.25" customHeight="1">
      <c r="A81" s="10"/>
    </row>
    <row r="82" ht="14.25" customHeight="1">
      <c r="A82" s="10"/>
    </row>
    <row r="83" ht="14.25" customHeight="1">
      <c r="A83" s="10"/>
    </row>
    <row r="84" ht="14.25" customHeight="1">
      <c r="A84" s="10"/>
    </row>
    <row r="85" ht="14.25" customHeight="1">
      <c r="A85" s="10"/>
    </row>
    <row r="86" ht="14.25" customHeight="1">
      <c r="A86" s="10"/>
    </row>
    <row r="87" ht="14.25" customHeight="1">
      <c r="A87" s="10"/>
    </row>
    <row r="88" ht="14.25" customHeight="1">
      <c r="A88" s="10"/>
    </row>
    <row r="89" ht="14.25" customHeight="1">
      <c r="A89" s="10"/>
    </row>
    <row r="90" ht="14.25" customHeight="1">
      <c r="A90" s="10"/>
    </row>
    <row r="91" ht="14.25" customHeight="1">
      <c r="A91" s="10"/>
    </row>
    <row r="92" ht="14.25" customHeight="1">
      <c r="A92" s="10"/>
    </row>
    <row r="93" ht="14.25" customHeight="1">
      <c r="A93" s="10"/>
    </row>
    <row r="94" ht="14.25" customHeight="1">
      <c r="A94" s="10"/>
    </row>
    <row r="95" ht="14.25" customHeight="1">
      <c r="A95" s="10"/>
    </row>
    <row r="96" ht="14.25" customHeight="1">
      <c r="A96" s="10"/>
    </row>
    <row r="97" ht="14.25" customHeight="1">
      <c r="A97" s="10"/>
    </row>
    <row r="98" ht="14.25" customHeight="1">
      <c r="A98" s="10"/>
    </row>
    <row r="99" ht="14.25" customHeight="1">
      <c r="A99" s="10"/>
    </row>
    <row r="100" ht="14.25" customHeight="1">
      <c r="A100" s="10"/>
    </row>
    <row r="101" ht="14.25" customHeight="1">
      <c r="A101" s="10"/>
    </row>
    <row r="102" ht="14.25" customHeight="1">
      <c r="A102" s="10"/>
    </row>
    <row r="103" ht="14.25" customHeight="1">
      <c r="A103" s="10"/>
    </row>
    <row r="104" ht="14.25" customHeight="1">
      <c r="A104" s="10"/>
    </row>
    <row r="105" ht="14.25" customHeight="1">
      <c r="A105" s="10"/>
    </row>
    <row r="106" ht="14.25" customHeight="1">
      <c r="A106" s="10"/>
    </row>
    <row r="107" ht="14.25" customHeight="1">
      <c r="A107" s="10"/>
    </row>
    <row r="108" ht="14.25" customHeight="1">
      <c r="A108" s="10"/>
    </row>
    <row r="109" ht="14.25" customHeight="1">
      <c r="A109" s="10"/>
    </row>
    <row r="110" ht="14.25" customHeight="1">
      <c r="A110" s="10"/>
    </row>
    <row r="111" ht="14.25" customHeight="1">
      <c r="A111" s="10"/>
    </row>
    <row r="112" ht="14.25" customHeight="1">
      <c r="A112" s="10"/>
    </row>
    <row r="113" ht="14.25" customHeight="1">
      <c r="A113" s="10"/>
    </row>
    <row r="114" ht="14.25" customHeight="1">
      <c r="A114" s="10"/>
    </row>
    <row r="115" ht="14.25" customHeight="1">
      <c r="A115" s="10"/>
    </row>
    <row r="116" ht="14.25" customHeight="1">
      <c r="A116" s="10"/>
    </row>
    <row r="117" ht="14.25" customHeight="1">
      <c r="A117" s="10"/>
    </row>
    <row r="118" ht="14.25" customHeight="1">
      <c r="A118" s="10"/>
    </row>
    <row r="119" ht="14.25" customHeight="1">
      <c r="A119" s="10"/>
    </row>
    <row r="120" ht="14.25" customHeight="1">
      <c r="A120" s="10"/>
    </row>
    <row r="121" ht="14.25" customHeight="1">
      <c r="A121" s="10"/>
    </row>
    <row r="122" ht="14.25" customHeight="1">
      <c r="A122" s="10"/>
    </row>
    <row r="123" ht="14.25" customHeight="1">
      <c r="A123" s="10"/>
    </row>
    <row r="124" ht="14.25" customHeight="1">
      <c r="A124" s="10"/>
    </row>
    <row r="125" ht="14.25" customHeight="1">
      <c r="A125" s="10"/>
    </row>
    <row r="126" ht="14.25" customHeight="1">
      <c r="A126" s="10"/>
    </row>
    <row r="127" ht="14.25" customHeight="1">
      <c r="A127" s="10"/>
    </row>
    <row r="128" ht="14.25" customHeight="1">
      <c r="A128" s="10"/>
    </row>
    <row r="129" ht="14.25" customHeight="1">
      <c r="A129" s="10"/>
    </row>
    <row r="130" ht="14.25" customHeight="1">
      <c r="A130" s="10"/>
    </row>
    <row r="131" ht="14.25" customHeight="1">
      <c r="A131" s="10"/>
    </row>
    <row r="132" ht="14.25" customHeight="1">
      <c r="A132" s="10"/>
    </row>
    <row r="133" ht="14.25" customHeight="1">
      <c r="A133" s="10"/>
    </row>
    <row r="134" ht="14.25" customHeight="1">
      <c r="A134" s="10"/>
    </row>
    <row r="135" ht="14.25" customHeight="1">
      <c r="A135" s="10"/>
    </row>
    <row r="136" ht="14.25" customHeight="1">
      <c r="A136" s="10"/>
    </row>
    <row r="137" ht="14.25" customHeight="1">
      <c r="A137" s="10"/>
    </row>
    <row r="138" ht="14.25" customHeight="1">
      <c r="A138" s="10"/>
    </row>
    <row r="139" ht="14.25" customHeight="1">
      <c r="A139" s="10"/>
    </row>
    <row r="140" ht="14.25" customHeight="1">
      <c r="A140" s="10"/>
    </row>
    <row r="141" ht="14.25" customHeight="1">
      <c r="A141" s="10"/>
    </row>
    <row r="142" ht="14.25" customHeight="1">
      <c r="A142" s="10"/>
    </row>
    <row r="143" ht="14.25" customHeight="1">
      <c r="A143" s="10"/>
    </row>
    <row r="144" ht="14.25" customHeight="1">
      <c r="A144" s="10"/>
    </row>
    <row r="145" ht="14.25" customHeight="1">
      <c r="A145" s="10"/>
    </row>
    <row r="146" ht="14.25" customHeight="1">
      <c r="A146" s="10"/>
    </row>
    <row r="147" ht="14.25" customHeight="1">
      <c r="A147" s="10"/>
    </row>
    <row r="148" ht="14.25" customHeight="1">
      <c r="A148" s="10"/>
    </row>
    <row r="149" ht="14.25" customHeight="1">
      <c r="A149" s="10"/>
    </row>
    <row r="150" ht="14.25" customHeight="1">
      <c r="A150" s="10"/>
    </row>
    <row r="151" ht="14.25" customHeight="1">
      <c r="A151" s="10"/>
    </row>
    <row r="152" ht="14.25" customHeight="1">
      <c r="A152" s="10"/>
    </row>
    <row r="153" ht="14.25" customHeight="1">
      <c r="A153" s="10"/>
    </row>
    <row r="154" ht="14.25" customHeight="1">
      <c r="A154" s="10"/>
    </row>
    <row r="155" ht="14.25" customHeight="1">
      <c r="A155" s="10"/>
    </row>
    <row r="156" ht="14.25" customHeight="1">
      <c r="A156" s="10"/>
    </row>
    <row r="157" ht="14.25" customHeight="1">
      <c r="A157" s="10"/>
    </row>
    <row r="158" ht="14.25" customHeight="1">
      <c r="A158" s="10"/>
    </row>
    <row r="159" ht="14.25" customHeight="1">
      <c r="A159" s="10"/>
    </row>
    <row r="160" ht="14.25" customHeight="1">
      <c r="A160" s="10"/>
    </row>
    <row r="161" ht="14.25" customHeight="1">
      <c r="A161" s="10"/>
    </row>
    <row r="162" ht="14.25" customHeight="1">
      <c r="A162" s="10"/>
    </row>
    <row r="163" ht="14.25" customHeight="1">
      <c r="A163" s="10"/>
    </row>
    <row r="164" ht="14.25" customHeight="1">
      <c r="A164" s="10"/>
    </row>
    <row r="165" ht="14.25" customHeight="1">
      <c r="A165" s="10"/>
    </row>
    <row r="166" ht="14.25" customHeight="1">
      <c r="A166" s="10"/>
    </row>
    <row r="167" ht="14.25" customHeight="1">
      <c r="A167" s="10"/>
    </row>
    <row r="168" ht="14.25" customHeight="1">
      <c r="A168" s="10"/>
    </row>
    <row r="169" ht="14.25" customHeight="1">
      <c r="A169" s="10"/>
    </row>
    <row r="170" ht="14.25" customHeight="1">
      <c r="A170" s="10"/>
    </row>
    <row r="171" ht="14.25" customHeight="1">
      <c r="A171" s="10"/>
    </row>
    <row r="172" ht="14.25" customHeight="1">
      <c r="A172" s="10"/>
    </row>
    <row r="173" ht="14.25" customHeight="1">
      <c r="A173" s="10"/>
    </row>
    <row r="174" ht="14.25" customHeight="1">
      <c r="A174" s="10"/>
    </row>
    <row r="175" ht="14.25" customHeight="1">
      <c r="A175" s="10"/>
    </row>
    <row r="176" ht="14.25" customHeight="1">
      <c r="A176" s="10"/>
    </row>
    <row r="177" ht="14.25" customHeight="1">
      <c r="A177" s="10"/>
    </row>
    <row r="178" ht="14.25" customHeight="1">
      <c r="A178" s="10"/>
    </row>
    <row r="179" ht="14.25" customHeight="1">
      <c r="A179" s="10"/>
    </row>
    <row r="180" ht="14.25" customHeight="1">
      <c r="A180" s="10"/>
    </row>
    <row r="181" ht="14.25" customHeight="1">
      <c r="A181" s="10"/>
    </row>
    <row r="182" ht="14.25" customHeight="1">
      <c r="A182" s="10"/>
    </row>
    <row r="183" ht="14.25" customHeight="1">
      <c r="A183" s="10"/>
    </row>
    <row r="184" ht="14.25" customHeight="1">
      <c r="A184" s="10"/>
    </row>
    <row r="185" ht="14.25" customHeight="1">
      <c r="A185" s="10"/>
    </row>
    <row r="186" ht="14.25" customHeight="1">
      <c r="A186" s="10"/>
    </row>
    <row r="187" ht="14.25" customHeight="1">
      <c r="A187" s="10"/>
    </row>
    <row r="188" ht="14.25" customHeight="1">
      <c r="A188" s="10"/>
    </row>
    <row r="189" ht="14.25" customHeight="1">
      <c r="A189" s="10"/>
    </row>
    <row r="190" ht="14.25" customHeight="1">
      <c r="A190" s="10"/>
    </row>
    <row r="191" ht="14.25" customHeight="1">
      <c r="A191" s="10"/>
    </row>
    <row r="192" ht="14.25" customHeight="1">
      <c r="A192" s="10"/>
    </row>
    <row r="193" ht="14.25" customHeight="1">
      <c r="A193" s="10"/>
    </row>
    <row r="194" ht="14.25" customHeight="1">
      <c r="A194" s="10"/>
    </row>
    <row r="195" ht="14.25" customHeight="1">
      <c r="A195" s="10"/>
    </row>
    <row r="196" ht="14.25" customHeight="1">
      <c r="A196" s="10"/>
    </row>
    <row r="197" ht="14.25" customHeight="1">
      <c r="A197" s="10"/>
    </row>
    <row r="198" ht="14.25" customHeight="1">
      <c r="A198" s="10"/>
    </row>
    <row r="199" ht="14.25" customHeight="1">
      <c r="A199" s="10"/>
    </row>
    <row r="200" ht="14.25" customHeight="1">
      <c r="A200" s="10"/>
    </row>
    <row r="201" ht="14.25" customHeight="1">
      <c r="A201" s="10"/>
    </row>
    <row r="202" ht="14.25" customHeight="1">
      <c r="A202" s="10"/>
    </row>
    <row r="203" ht="14.25" customHeight="1">
      <c r="A203" s="10"/>
    </row>
    <row r="204" ht="14.25" customHeight="1">
      <c r="A204" s="10"/>
    </row>
    <row r="205" ht="14.25" customHeight="1">
      <c r="A205" s="10"/>
    </row>
    <row r="206" ht="14.25" customHeight="1">
      <c r="A206" s="10"/>
    </row>
    <row r="207" ht="14.25" customHeight="1">
      <c r="A207" s="10"/>
    </row>
    <row r="208" ht="14.25" customHeight="1">
      <c r="A208" s="10"/>
    </row>
    <row r="209" ht="14.25" customHeight="1">
      <c r="A209" s="10"/>
    </row>
    <row r="210" ht="14.25" customHeight="1">
      <c r="A210" s="10"/>
    </row>
    <row r="211" ht="14.25" customHeight="1">
      <c r="A211" s="10"/>
    </row>
    <row r="212" ht="14.25" customHeight="1">
      <c r="A212" s="10"/>
    </row>
    <row r="213" ht="14.25" customHeight="1">
      <c r="A213" s="10"/>
    </row>
    <row r="214" ht="14.25" customHeight="1">
      <c r="A214" s="10"/>
    </row>
    <row r="215" ht="14.25" customHeight="1">
      <c r="A215" s="10"/>
    </row>
    <row r="216" ht="14.25" customHeight="1">
      <c r="A216" s="10"/>
    </row>
    <row r="217" ht="14.25" customHeight="1">
      <c r="A217" s="10"/>
    </row>
    <row r="218" ht="14.25" customHeight="1">
      <c r="A218" s="10"/>
    </row>
    <row r="219" ht="14.25" customHeight="1">
      <c r="A219" s="10"/>
    </row>
    <row r="220" ht="14.25" customHeight="1">
      <c r="A220" s="10"/>
    </row>
    <row r="221" ht="14.25" customHeight="1">
      <c r="A221" s="10"/>
    </row>
    <row r="222" ht="14.25" customHeight="1">
      <c r="A222" s="10"/>
    </row>
    <row r="223" ht="14.25" customHeight="1">
      <c r="A223" s="10"/>
    </row>
    <row r="224" ht="14.25" customHeight="1">
      <c r="A224" s="10"/>
    </row>
    <row r="225" ht="14.25" customHeight="1">
      <c r="A225" s="10"/>
    </row>
    <row r="226" ht="14.25" customHeight="1">
      <c r="A226" s="10"/>
    </row>
    <row r="227" ht="14.25" customHeight="1">
      <c r="A227" s="10"/>
    </row>
    <row r="228" ht="14.25" customHeight="1">
      <c r="A228" s="10"/>
    </row>
    <row r="229" ht="14.25" customHeight="1">
      <c r="A229" s="10"/>
    </row>
    <row r="230" ht="14.25" customHeight="1">
      <c r="A230" s="10"/>
    </row>
    <row r="231" ht="14.25" customHeight="1">
      <c r="A231" s="10"/>
    </row>
    <row r="232" ht="14.25" customHeight="1">
      <c r="A232" s="10"/>
    </row>
    <row r="233" ht="14.25" customHeight="1">
      <c r="A233" s="10"/>
    </row>
    <row r="234" ht="14.25" customHeight="1">
      <c r="A234" s="10"/>
    </row>
    <row r="235" ht="14.25" customHeight="1">
      <c r="A235" s="10"/>
    </row>
    <row r="236" ht="14.25" customHeight="1">
      <c r="A236" s="10"/>
    </row>
    <row r="237" ht="14.25" customHeight="1">
      <c r="A237" s="10"/>
    </row>
    <row r="238" ht="14.25" customHeight="1">
      <c r="A238" s="10"/>
    </row>
    <row r="239" ht="14.25" customHeight="1">
      <c r="A239" s="10"/>
    </row>
    <row r="240" ht="14.25" customHeight="1">
      <c r="A240" s="10"/>
    </row>
    <row r="241" ht="14.25" customHeight="1">
      <c r="A241" s="10"/>
    </row>
    <row r="242" ht="14.25" customHeight="1">
      <c r="A242" s="10"/>
    </row>
    <row r="243" ht="14.25" customHeight="1">
      <c r="A243" s="10"/>
    </row>
    <row r="244" ht="14.25" customHeight="1">
      <c r="A244" s="10"/>
    </row>
    <row r="245" ht="14.25" customHeight="1">
      <c r="A245" s="10"/>
    </row>
    <row r="246" ht="14.25" customHeight="1">
      <c r="A246" s="10"/>
    </row>
    <row r="247" ht="14.25" customHeight="1">
      <c r="A247" s="10"/>
    </row>
    <row r="248" ht="14.25" customHeight="1">
      <c r="A248" s="10"/>
    </row>
    <row r="249" ht="14.25" customHeight="1">
      <c r="A249" s="10"/>
    </row>
    <row r="250" ht="14.25" customHeight="1">
      <c r="A250" s="10"/>
    </row>
    <row r="251" ht="14.25" customHeight="1">
      <c r="A251" s="10"/>
    </row>
    <row r="252" ht="14.25" customHeight="1">
      <c r="A252" s="10"/>
    </row>
    <row r="253" ht="14.25" customHeight="1">
      <c r="A253" s="10"/>
    </row>
    <row r="254" ht="14.25" customHeight="1">
      <c r="A254" s="10"/>
    </row>
    <row r="255" ht="14.25" customHeight="1">
      <c r="A255" s="10"/>
    </row>
    <row r="256" ht="14.25" customHeight="1">
      <c r="A256" s="10"/>
    </row>
    <row r="257" ht="14.25" customHeight="1">
      <c r="A257" s="10"/>
    </row>
    <row r="258" ht="14.25" customHeight="1">
      <c r="A258" s="10"/>
    </row>
    <row r="259" ht="14.25" customHeight="1">
      <c r="A259" s="10"/>
    </row>
    <row r="260" ht="14.25" customHeight="1">
      <c r="A260" s="10"/>
    </row>
    <row r="261" ht="14.25" customHeight="1">
      <c r="A261" s="10"/>
    </row>
    <row r="262" ht="14.25" customHeight="1">
      <c r="A262" s="10"/>
    </row>
    <row r="263" ht="14.25" customHeight="1">
      <c r="A263" s="10"/>
    </row>
    <row r="264" ht="14.25" customHeight="1">
      <c r="A264" s="10"/>
    </row>
    <row r="265" ht="14.25" customHeight="1">
      <c r="A265" s="10"/>
    </row>
    <row r="266" ht="14.25" customHeight="1">
      <c r="A266" s="10"/>
    </row>
    <row r="267" ht="14.25" customHeight="1">
      <c r="A267" s="10"/>
    </row>
    <row r="268" ht="14.25" customHeight="1">
      <c r="A268" s="10"/>
    </row>
    <row r="269" ht="14.25" customHeight="1">
      <c r="A269" s="10"/>
    </row>
    <row r="270" ht="14.25" customHeight="1">
      <c r="A270" s="10"/>
    </row>
    <row r="271" ht="14.25" customHeight="1">
      <c r="A271" s="10"/>
    </row>
    <row r="272" ht="14.25" customHeight="1">
      <c r="A272" s="10"/>
    </row>
    <row r="273" ht="14.25" customHeight="1">
      <c r="A273" s="10"/>
    </row>
    <row r="274" ht="14.25" customHeight="1">
      <c r="A274" s="10"/>
    </row>
    <row r="275" ht="14.25" customHeight="1">
      <c r="A275" s="10"/>
    </row>
    <row r="276" ht="14.25" customHeight="1">
      <c r="A276" s="10"/>
    </row>
    <row r="277" ht="14.25" customHeight="1">
      <c r="A277" s="10"/>
    </row>
    <row r="278" ht="14.25" customHeight="1">
      <c r="A278" s="10"/>
    </row>
    <row r="279" ht="14.25" customHeight="1">
      <c r="A279" s="10"/>
    </row>
    <row r="280" ht="14.25" customHeight="1">
      <c r="A280" s="10"/>
    </row>
    <row r="281" ht="14.25" customHeight="1">
      <c r="A281" s="10"/>
    </row>
    <row r="282" ht="14.25" customHeight="1">
      <c r="A282" s="10"/>
    </row>
    <row r="283" ht="14.25" customHeight="1">
      <c r="A283" s="10"/>
    </row>
    <row r="284" ht="14.25" customHeight="1">
      <c r="A284" s="10"/>
    </row>
    <row r="285" ht="14.25" customHeight="1">
      <c r="A285" s="10"/>
    </row>
    <row r="286" ht="14.25" customHeight="1">
      <c r="A286" s="10"/>
    </row>
    <row r="287" ht="14.25" customHeight="1">
      <c r="A287" s="10"/>
    </row>
    <row r="288" ht="14.25" customHeight="1">
      <c r="A288" s="10"/>
    </row>
    <row r="289" ht="14.25" customHeight="1">
      <c r="A289" s="10"/>
    </row>
    <row r="290" ht="14.25" customHeight="1">
      <c r="A290" s="10"/>
    </row>
    <row r="291" ht="14.25" customHeight="1">
      <c r="A291" s="10"/>
    </row>
    <row r="292" ht="14.25" customHeight="1">
      <c r="A292" s="10"/>
    </row>
    <row r="293" ht="14.25" customHeight="1">
      <c r="A293" s="10"/>
    </row>
    <row r="294" ht="14.25" customHeight="1">
      <c r="A294" s="10"/>
    </row>
    <row r="295" ht="14.25" customHeight="1">
      <c r="A295" s="10"/>
    </row>
    <row r="296" ht="14.25" customHeight="1">
      <c r="A296" s="10"/>
    </row>
    <row r="297" ht="14.25" customHeight="1">
      <c r="A297" s="10"/>
    </row>
    <row r="298" ht="14.25" customHeight="1">
      <c r="A298" s="10"/>
    </row>
    <row r="299" ht="14.25" customHeight="1">
      <c r="A299" s="10"/>
    </row>
    <row r="300" ht="14.25" customHeight="1">
      <c r="A300" s="10"/>
    </row>
    <row r="301" ht="14.25" customHeight="1">
      <c r="A301" s="10"/>
    </row>
    <row r="302" ht="14.25" customHeight="1">
      <c r="A302" s="10"/>
    </row>
    <row r="303" ht="14.25" customHeight="1">
      <c r="A303" s="10"/>
    </row>
    <row r="304" ht="14.25" customHeight="1">
      <c r="A304" s="10"/>
    </row>
    <row r="305" ht="14.25" customHeight="1">
      <c r="A305" s="10"/>
    </row>
    <row r="306" ht="14.25" customHeight="1">
      <c r="A306" s="10"/>
    </row>
    <row r="307" ht="14.25" customHeight="1">
      <c r="A307" s="10"/>
    </row>
    <row r="308" ht="14.25" customHeight="1">
      <c r="A308" s="10"/>
    </row>
    <row r="309" ht="14.25" customHeight="1">
      <c r="A309" s="10"/>
    </row>
    <row r="310" ht="14.25" customHeight="1">
      <c r="A310" s="10"/>
    </row>
    <row r="311" ht="14.25" customHeight="1">
      <c r="A311" s="10"/>
    </row>
    <row r="312" ht="14.25" customHeight="1">
      <c r="A312" s="10"/>
    </row>
    <row r="313" ht="14.25" customHeight="1">
      <c r="A313" s="10"/>
    </row>
    <row r="314" ht="14.25" customHeight="1">
      <c r="A314" s="10"/>
    </row>
    <row r="315" ht="14.25" customHeight="1">
      <c r="A315" s="10"/>
    </row>
    <row r="316" ht="14.25" customHeight="1">
      <c r="A316" s="10"/>
    </row>
    <row r="317" ht="14.25" customHeight="1">
      <c r="A317" s="10"/>
    </row>
    <row r="318" ht="14.25" customHeight="1">
      <c r="A318" s="10"/>
    </row>
    <row r="319" ht="14.25" customHeight="1">
      <c r="A319" s="10"/>
    </row>
    <row r="320" ht="14.25" customHeight="1">
      <c r="A320" s="10"/>
    </row>
    <row r="321" ht="14.25" customHeight="1">
      <c r="A321" s="10"/>
    </row>
    <row r="322" ht="14.25" customHeight="1">
      <c r="A322" s="10"/>
    </row>
    <row r="323" ht="14.25" customHeight="1">
      <c r="A323" s="10"/>
    </row>
    <row r="324" ht="14.25" customHeight="1">
      <c r="A324" s="10"/>
    </row>
    <row r="325" ht="14.25" customHeight="1">
      <c r="A325" s="10"/>
    </row>
    <row r="326" ht="14.25" customHeight="1">
      <c r="A326" s="10"/>
    </row>
    <row r="327" ht="14.25" customHeight="1">
      <c r="A327" s="10"/>
    </row>
    <row r="328" ht="14.25" customHeight="1">
      <c r="A328" s="10"/>
    </row>
    <row r="329" ht="14.25" customHeight="1">
      <c r="A329" s="10"/>
    </row>
    <row r="330" ht="14.25" customHeight="1">
      <c r="A330" s="10"/>
    </row>
    <row r="331" ht="14.25" customHeight="1">
      <c r="A331" s="10"/>
    </row>
    <row r="332" ht="14.25" customHeight="1">
      <c r="A332" s="10"/>
    </row>
    <row r="333" ht="14.25" customHeight="1">
      <c r="A333" s="10"/>
    </row>
    <row r="334" ht="14.25" customHeight="1">
      <c r="A334" s="10"/>
    </row>
    <row r="335" ht="14.25" customHeight="1">
      <c r="A335" s="10"/>
    </row>
    <row r="336" ht="14.25" customHeight="1">
      <c r="A336" s="10"/>
    </row>
    <row r="337" ht="14.25" customHeight="1">
      <c r="A337" s="10"/>
    </row>
    <row r="338" ht="14.25" customHeight="1">
      <c r="A338" s="10"/>
    </row>
    <row r="339" ht="14.25" customHeight="1">
      <c r="A339" s="10"/>
    </row>
    <row r="340" ht="14.25" customHeight="1">
      <c r="A340" s="10"/>
    </row>
    <row r="341" ht="14.25" customHeight="1">
      <c r="A341" s="10"/>
    </row>
    <row r="342" ht="14.25" customHeight="1">
      <c r="A342" s="10"/>
    </row>
    <row r="343" ht="14.25" customHeight="1">
      <c r="A343" s="10"/>
    </row>
    <row r="344" ht="14.25" customHeight="1">
      <c r="A344" s="10"/>
    </row>
    <row r="345" ht="14.25" customHeight="1">
      <c r="A345" s="10"/>
    </row>
    <row r="346" ht="14.25" customHeight="1">
      <c r="A346" s="10"/>
    </row>
    <row r="347" ht="14.25" customHeight="1">
      <c r="A347" s="10"/>
    </row>
    <row r="348" ht="14.25" customHeight="1">
      <c r="A348" s="10"/>
    </row>
    <row r="349" ht="14.25" customHeight="1">
      <c r="A349" s="10"/>
    </row>
    <row r="350" ht="14.25" customHeight="1">
      <c r="A350" s="10"/>
    </row>
    <row r="351" ht="14.25" customHeight="1">
      <c r="A351" s="10"/>
    </row>
    <row r="352" ht="14.25" customHeight="1">
      <c r="A352" s="10"/>
    </row>
    <row r="353" ht="14.25" customHeight="1">
      <c r="A353" s="10"/>
    </row>
    <row r="354" ht="14.25" customHeight="1">
      <c r="A354" s="10"/>
    </row>
    <row r="355" ht="14.25" customHeight="1">
      <c r="A355" s="10"/>
    </row>
    <row r="356" ht="14.25" customHeight="1">
      <c r="A356" s="10"/>
    </row>
    <row r="357" ht="14.25" customHeight="1">
      <c r="A357" s="10"/>
    </row>
    <row r="358" ht="14.25" customHeight="1">
      <c r="A358" s="10"/>
    </row>
    <row r="359" ht="14.25" customHeight="1">
      <c r="A359" s="10"/>
    </row>
    <row r="360" ht="14.25" customHeight="1">
      <c r="A360" s="10"/>
    </row>
    <row r="361" ht="14.25" customHeight="1">
      <c r="A361" s="10"/>
    </row>
    <row r="362" ht="14.25" customHeight="1">
      <c r="A362" s="10"/>
    </row>
    <row r="363" ht="14.25" customHeight="1">
      <c r="A363" s="10"/>
    </row>
    <row r="364" ht="14.25" customHeight="1">
      <c r="A364" s="10"/>
    </row>
    <row r="365" ht="14.25" customHeight="1">
      <c r="A365" s="10"/>
    </row>
    <row r="366" ht="14.25" customHeight="1">
      <c r="A366" s="10"/>
    </row>
    <row r="367" ht="14.25" customHeight="1">
      <c r="A367" s="10"/>
    </row>
    <row r="368" ht="14.25" customHeight="1">
      <c r="A368" s="10"/>
    </row>
    <row r="369" ht="14.25" customHeight="1">
      <c r="A369" s="10"/>
    </row>
    <row r="370" ht="14.25" customHeight="1">
      <c r="A370" s="10"/>
    </row>
    <row r="371" ht="14.25" customHeight="1">
      <c r="A371" s="10"/>
    </row>
    <row r="372" ht="14.25" customHeight="1">
      <c r="A372" s="10"/>
    </row>
    <row r="373" ht="14.25" customHeight="1">
      <c r="A373" s="10"/>
    </row>
    <row r="374" ht="14.25" customHeight="1">
      <c r="A374" s="10"/>
    </row>
    <row r="375" ht="14.25" customHeight="1">
      <c r="A375" s="10"/>
    </row>
    <row r="376" ht="14.25" customHeight="1">
      <c r="A376" s="10"/>
    </row>
    <row r="377" ht="14.25" customHeight="1">
      <c r="A377" s="10"/>
    </row>
    <row r="378" ht="14.25" customHeight="1">
      <c r="A378" s="10"/>
    </row>
    <row r="379" ht="14.25" customHeight="1">
      <c r="A379" s="10"/>
    </row>
    <row r="380" ht="14.25" customHeight="1">
      <c r="A380" s="10"/>
    </row>
    <row r="381" ht="14.25" customHeight="1">
      <c r="A381" s="10"/>
    </row>
    <row r="382" ht="14.25" customHeight="1">
      <c r="A382" s="10"/>
    </row>
    <row r="383" ht="14.25" customHeight="1">
      <c r="A383" s="10"/>
    </row>
    <row r="384" ht="14.25" customHeight="1">
      <c r="A384" s="10"/>
    </row>
    <row r="385" ht="14.25" customHeight="1">
      <c r="A385" s="10"/>
    </row>
    <row r="386" ht="14.25" customHeight="1">
      <c r="A386" s="10"/>
    </row>
    <row r="387" ht="14.25" customHeight="1">
      <c r="A387" s="10"/>
    </row>
    <row r="388" ht="14.25" customHeight="1">
      <c r="A388" s="10"/>
    </row>
    <row r="389" ht="14.25" customHeight="1">
      <c r="A389" s="10"/>
    </row>
    <row r="390" ht="14.25" customHeight="1">
      <c r="A390" s="10"/>
    </row>
    <row r="391" ht="14.25" customHeight="1">
      <c r="A391" s="10"/>
    </row>
    <row r="392" ht="14.25" customHeight="1">
      <c r="A392" s="10"/>
    </row>
    <row r="393" ht="14.25" customHeight="1">
      <c r="A393" s="10"/>
    </row>
    <row r="394" ht="14.25" customHeight="1">
      <c r="A394" s="10"/>
    </row>
    <row r="395" ht="14.25" customHeight="1">
      <c r="A395" s="10"/>
    </row>
    <row r="396" ht="14.25" customHeight="1">
      <c r="A396" s="10"/>
    </row>
    <row r="397" ht="14.25" customHeight="1">
      <c r="A397" s="10"/>
    </row>
    <row r="398" ht="14.25" customHeight="1">
      <c r="A398" s="10"/>
    </row>
    <row r="399" ht="14.25" customHeight="1">
      <c r="A399" s="10"/>
    </row>
    <row r="400" ht="14.25" customHeight="1">
      <c r="A400" s="10"/>
    </row>
    <row r="401" ht="14.25" customHeight="1">
      <c r="A401" s="10"/>
    </row>
    <row r="402" ht="14.25" customHeight="1">
      <c r="A402" s="10"/>
    </row>
    <row r="403" ht="14.25" customHeight="1">
      <c r="A403" s="10"/>
    </row>
    <row r="404" ht="14.25" customHeight="1">
      <c r="A404" s="10"/>
    </row>
    <row r="405" ht="14.25" customHeight="1">
      <c r="A405" s="10"/>
    </row>
    <row r="406" ht="14.25" customHeight="1">
      <c r="A406" s="10"/>
    </row>
    <row r="407" ht="14.25" customHeight="1">
      <c r="A407" s="10"/>
    </row>
    <row r="408" ht="14.25" customHeight="1">
      <c r="A408" s="10"/>
    </row>
    <row r="409" ht="14.25" customHeight="1">
      <c r="A409" s="10"/>
    </row>
    <row r="410" ht="14.25" customHeight="1">
      <c r="A410" s="10"/>
    </row>
    <row r="411" ht="14.25" customHeight="1">
      <c r="A411" s="10"/>
    </row>
    <row r="412" ht="14.25" customHeight="1">
      <c r="A412" s="10"/>
    </row>
    <row r="413" ht="14.25" customHeight="1">
      <c r="A413" s="10"/>
    </row>
    <row r="414" ht="14.25" customHeight="1">
      <c r="A414" s="10"/>
    </row>
    <row r="415" ht="14.25" customHeight="1">
      <c r="A415" s="10"/>
    </row>
    <row r="416" ht="14.25" customHeight="1">
      <c r="A416" s="10"/>
    </row>
    <row r="417" ht="14.25" customHeight="1">
      <c r="A417" s="10"/>
    </row>
    <row r="418" ht="14.25" customHeight="1">
      <c r="A418" s="10"/>
    </row>
    <row r="419" ht="14.25" customHeight="1">
      <c r="A419" s="10"/>
    </row>
    <row r="420" ht="14.25" customHeight="1">
      <c r="A420" s="10"/>
    </row>
    <row r="421" ht="14.25" customHeight="1">
      <c r="A421" s="10"/>
    </row>
    <row r="422" ht="14.25" customHeight="1">
      <c r="A422" s="10"/>
    </row>
    <row r="423" ht="14.25" customHeight="1">
      <c r="A423" s="10"/>
    </row>
    <row r="424" ht="14.25" customHeight="1">
      <c r="A424" s="10"/>
    </row>
    <row r="425" ht="14.25" customHeight="1">
      <c r="A425" s="10"/>
    </row>
    <row r="426" ht="14.25" customHeight="1">
      <c r="A426" s="10"/>
    </row>
    <row r="427" ht="14.25" customHeight="1">
      <c r="A427" s="10"/>
    </row>
    <row r="428" ht="14.25" customHeight="1">
      <c r="A428" s="10"/>
    </row>
    <row r="429" ht="14.25" customHeight="1">
      <c r="A429" s="10"/>
    </row>
    <row r="430" ht="14.25" customHeight="1">
      <c r="A430" s="10"/>
    </row>
    <row r="431" ht="14.25" customHeight="1">
      <c r="A431" s="10"/>
    </row>
    <row r="432" ht="14.25" customHeight="1">
      <c r="A432" s="10"/>
    </row>
    <row r="433" ht="14.25" customHeight="1">
      <c r="A433" s="10"/>
    </row>
    <row r="434" ht="14.25" customHeight="1">
      <c r="A434" s="10"/>
    </row>
    <row r="435" ht="14.25" customHeight="1">
      <c r="A435" s="10"/>
    </row>
    <row r="436" ht="14.25" customHeight="1">
      <c r="A436" s="10"/>
    </row>
    <row r="437" ht="14.25" customHeight="1">
      <c r="A437" s="10"/>
    </row>
    <row r="438" ht="14.25" customHeight="1">
      <c r="A438" s="10"/>
    </row>
    <row r="439" ht="14.25" customHeight="1">
      <c r="A439" s="10"/>
    </row>
    <row r="440" ht="14.25" customHeight="1">
      <c r="A440" s="10"/>
    </row>
    <row r="441" ht="14.25" customHeight="1">
      <c r="A441" s="10"/>
    </row>
    <row r="442" ht="14.25" customHeight="1">
      <c r="A442" s="10"/>
    </row>
    <row r="443" ht="14.25" customHeight="1">
      <c r="A443" s="10"/>
    </row>
    <row r="444" ht="14.25" customHeight="1">
      <c r="A444" s="10"/>
    </row>
    <row r="445" ht="14.25" customHeight="1">
      <c r="A445" s="10"/>
    </row>
    <row r="446" ht="14.25" customHeight="1">
      <c r="A446" s="10"/>
    </row>
    <row r="447" ht="14.25" customHeight="1">
      <c r="A447" s="10"/>
    </row>
    <row r="448" ht="14.25" customHeight="1">
      <c r="A448" s="10"/>
    </row>
    <row r="449" ht="14.25" customHeight="1">
      <c r="A449" s="10"/>
    </row>
    <row r="450" ht="14.25" customHeight="1">
      <c r="A450" s="10"/>
    </row>
    <row r="451" ht="14.25" customHeight="1">
      <c r="A451" s="10"/>
    </row>
    <row r="452" ht="14.25" customHeight="1">
      <c r="A452" s="10"/>
    </row>
    <row r="453" ht="14.25" customHeight="1">
      <c r="A453" s="10"/>
    </row>
    <row r="454" ht="14.25" customHeight="1">
      <c r="A454" s="10"/>
    </row>
    <row r="455" ht="14.25" customHeight="1">
      <c r="A455" s="10"/>
    </row>
    <row r="456" ht="14.25" customHeight="1">
      <c r="A456" s="10"/>
    </row>
    <row r="457" ht="14.25" customHeight="1">
      <c r="A457" s="10"/>
    </row>
    <row r="458" ht="14.25" customHeight="1">
      <c r="A458" s="10"/>
    </row>
    <row r="459" ht="14.25" customHeight="1">
      <c r="A459" s="10"/>
    </row>
    <row r="460" ht="14.25" customHeight="1">
      <c r="A460" s="10"/>
    </row>
    <row r="461" ht="14.25" customHeight="1">
      <c r="A461" s="10"/>
    </row>
    <row r="462" ht="14.25" customHeight="1">
      <c r="A462" s="10"/>
    </row>
    <row r="463" ht="14.25" customHeight="1">
      <c r="A463" s="10"/>
    </row>
    <row r="464" ht="14.25" customHeight="1">
      <c r="A464" s="10"/>
    </row>
    <row r="465" ht="14.25" customHeight="1">
      <c r="A465" s="10"/>
    </row>
    <row r="466" ht="14.25" customHeight="1">
      <c r="A466" s="10"/>
    </row>
    <row r="467" ht="14.25" customHeight="1">
      <c r="A467" s="10"/>
    </row>
    <row r="468" ht="14.25" customHeight="1">
      <c r="A468" s="10"/>
    </row>
    <row r="469" ht="14.25" customHeight="1">
      <c r="A469" s="10"/>
    </row>
    <row r="470" ht="14.25" customHeight="1">
      <c r="A470" s="10"/>
    </row>
    <row r="471" ht="14.25" customHeight="1">
      <c r="A471" s="10"/>
    </row>
    <row r="472" ht="14.25" customHeight="1">
      <c r="A472" s="10"/>
    </row>
    <row r="473" ht="14.25" customHeight="1">
      <c r="A473" s="10"/>
    </row>
    <row r="474" ht="14.25" customHeight="1">
      <c r="A474" s="10"/>
    </row>
    <row r="475" ht="14.25" customHeight="1">
      <c r="A475" s="10"/>
    </row>
    <row r="476" ht="14.25" customHeight="1">
      <c r="A476" s="10"/>
    </row>
    <row r="477" ht="14.25" customHeight="1">
      <c r="A477" s="10"/>
    </row>
    <row r="478" ht="14.25" customHeight="1">
      <c r="A478" s="10"/>
    </row>
    <row r="479" ht="14.25" customHeight="1">
      <c r="A479" s="10"/>
    </row>
    <row r="480" ht="14.25" customHeight="1">
      <c r="A480" s="10"/>
    </row>
    <row r="481" ht="14.25" customHeight="1">
      <c r="A481" s="10"/>
    </row>
    <row r="482" ht="14.25" customHeight="1">
      <c r="A482" s="10"/>
    </row>
    <row r="483" ht="14.25" customHeight="1">
      <c r="A483" s="10"/>
    </row>
    <row r="484" ht="14.25" customHeight="1">
      <c r="A484" s="10"/>
    </row>
    <row r="485" ht="14.25" customHeight="1">
      <c r="A485" s="10"/>
    </row>
    <row r="486" ht="14.25" customHeight="1">
      <c r="A486" s="10"/>
    </row>
    <row r="487" ht="14.25" customHeight="1">
      <c r="A487" s="10"/>
    </row>
    <row r="488" ht="14.25" customHeight="1">
      <c r="A488" s="10"/>
    </row>
    <row r="489" ht="14.25" customHeight="1">
      <c r="A489" s="10"/>
    </row>
    <row r="490" ht="14.25" customHeight="1">
      <c r="A490" s="10"/>
    </row>
    <row r="491" ht="14.25" customHeight="1">
      <c r="A491" s="10"/>
    </row>
    <row r="492" ht="14.25" customHeight="1">
      <c r="A492" s="10"/>
    </row>
    <row r="493" ht="14.25" customHeight="1">
      <c r="A493" s="10"/>
    </row>
    <row r="494" ht="14.25" customHeight="1">
      <c r="A494" s="10"/>
    </row>
    <row r="495" ht="14.25" customHeight="1">
      <c r="A495" s="10"/>
    </row>
    <row r="496" ht="14.25" customHeight="1">
      <c r="A496" s="10"/>
    </row>
    <row r="497" ht="14.25" customHeight="1">
      <c r="A497" s="10"/>
    </row>
    <row r="498" ht="14.25" customHeight="1">
      <c r="A498" s="10"/>
    </row>
    <row r="499" ht="14.25" customHeight="1">
      <c r="A499" s="10"/>
    </row>
    <row r="500" ht="14.25" customHeight="1">
      <c r="A500" s="10"/>
    </row>
    <row r="501" ht="14.25" customHeight="1">
      <c r="A501" s="10"/>
    </row>
    <row r="502" ht="14.25" customHeight="1">
      <c r="A502" s="10"/>
    </row>
    <row r="503" ht="14.25" customHeight="1">
      <c r="A503" s="10"/>
    </row>
    <row r="504" ht="14.25" customHeight="1">
      <c r="A504" s="10"/>
    </row>
    <row r="505" ht="14.25" customHeight="1">
      <c r="A505" s="10"/>
    </row>
    <row r="506" ht="14.25" customHeight="1">
      <c r="A506" s="10"/>
    </row>
    <row r="507" ht="14.25" customHeight="1">
      <c r="A507" s="10"/>
    </row>
    <row r="508" ht="14.25" customHeight="1">
      <c r="A508" s="10"/>
    </row>
    <row r="509" ht="14.25" customHeight="1">
      <c r="A509" s="10"/>
    </row>
    <row r="510" ht="14.25" customHeight="1">
      <c r="A510" s="10"/>
    </row>
    <row r="511" ht="14.25" customHeight="1">
      <c r="A511" s="10"/>
    </row>
    <row r="512" ht="14.25" customHeight="1">
      <c r="A512" s="10"/>
    </row>
    <row r="513" ht="14.25" customHeight="1">
      <c r="A513" s="10"/>
    </row>
    <row r="514" ht="14.25" customHeight="1">
      <c r="A514" s="10"/>
    </row>
    <row r="515" ht="14.25" customHeight="1">
      <c r="A515" s="10"/>
    </row>
    <row r="516" ht="14.25" customHeight="1">
      <c r="A516" s="10"/>
    </row>
    <row r="517" ht="14.25" customHeight="1">
      <c r="A517" s="10"/>
    </row>
    <row r="518" ht="14.25" customHeight="1">
      <c r="A518" s="10"/>
    </row>
    <row r="519" ht="14.25" customHeight="1">
      <c r="A519" s="10"/>
    </row>
    <row r="520" ht="14.25" customHeight="1">
      <c r="A520" s="10"/>
    </row>
    <row r="521" ht="14.25" customHeight="1">
      <c r="A521" s="10"/>
    </row>
    <row r="522" ht="14.25" customHeight="1">
      <c r="A522" s="10"/>
    </row>
    <row r="523" ht="14.25" customHeight="1">
      <c r="A523" s="10"/>
    </row>
    <row r="524" ht="14.25" customHeight="1">
      <c r="A524" s="10"/>
    </row>
    <row r="525" ht="14.25" customHeight="1">
      <c r="A525" s="10"/>
    </row>
    <row r="526" ht="14.25" customHeight="1">
      <c r="A526" s="10"/>
    </row>
    <row r="527" ht="14.25" customHeight="1">
      <c r="A527" s="10"/>
    </row>
    <row r="528" ht="14.25" customHeight="1">
      <c r="A528" s="10"/>
    </row>
    <row r="529" ht="14.25" customHeight="1">
      <c r="A529" s="10"/>
    </row>
    <row r="530" ht="14.25" customHeight="1">
      <c r="A530" s="10"/>
    </row>
    <row r="531" ht="14.25" customHeight="1">
      <c r="A531" s="10"/>
    </row>
    <row r="532" ht="14.25" customHeight="1">
      <c r="A532" s="10"/>
    </row>
    <row r="533" ht="14.25" customHeight="1">
      <c r="A533" s="10"/>
    </row>
    <row r="534" ht="14.25" customHeight="1">
      <c r="A534" s="10"/>
    </row>
    <row r="535" ht="14.25" customHeight="1">
      <c r="A535" s="10"/>
    </row>
    <row r="536" ht="14.25" customHeight="1">
      <c r="A536" s="10"/>
    </row>
    <row r="537" ht="14.25" customHeight="1">
      <c r="A537" s="10"/>
    </row>
    <row r="538" ht="14.25" customHeight="1">
      <c r="A538" s="10"/>
    </row>
    <row r="539" ht="14.25" customHeight="1">
      <c r="A539" s="10"/>
    </row>
    <row r="540" ht="14.25" customHeight="1">
      <c r="A540" s="10"/>
    </row>
    <row r="541" ht="14.25" customHeight="1">
      <c r="A541" s="10"/>
    </row>
    <row r="542" ht="14.25" customHeight="1">
      <c r="A542" s="10"/>
    </row>
    <row r="543" ht="14.25" customHeight="1">
      <c r="A543" s="10"/>
    </row>
    <row r="544" ht="14.25" customHeight="1">
      <c r="A544" s="10"/>
    </row>
    <row r="545" ht="14.25" customHeight="1">
      <c r="A545" s="10"/>
    </row>
    <row r="546" ht="14.25" customHeight="1">
      <c r="A546" s="10"/>
    </row>
    <row r="547" ht="14.25" customHeight="1">
      <c r="A547" s="10"/>
    </row>
    <row r="548" ht="14.25" customHeight="1">
      <c r="A548" s="10"/>
    </row>
    <row r="549" ht="14.25" customHeight="1">
      <c r="A549" s="10"/>
    </row>
    <row r="550" ht="14.25" customHeight="1">
      <c r="A550" s="10"/>
    </row>
    <row r="551" ht="14.25" customHeight="1">
      <c r="A551" s="10"/>
    </row>
    <row r="552" ht="14.25" customHeight="1">
      <c r="A552" s="10"/>
    </row>
    <row r="553" ht="14.25" customHeight="1">
      <c r="A553" s="10"/>
    </row>
    <row r="554" ht="14.25" customHeight="1">
      <c r="A554" s="10"/>
    </row>
    <row r="555" ht="14.25" customHeight="1">
      <c r="A555" s="10"/>
    </row>
    <row r="556" ht="14.25" customHeight="1">
      <c r="A556" s="10"/>
    </row>
    <row r="557" ht="14.25" customHeight="1">
      <c r="A557" s="10"/>
    </row>
    <row r="558" ht="14.25" customHeight="1">
      <c r="A558" s="10"/>
    </row>
    <row r="559" ht="14.25" customHeight="1">
      <c r="A559" s="10"/>
    </row>
    <row r="560" ht="14.25" customHeight="1">
      <c r="A560" s="10"/>
    </row>
    <row r="561" ht="14.25" customHeight="1">
      <c r="A561" s="10"/>
    </row>
    <row r="562" ht="14.25" customHeight="1">
      <c r="A562" s="10"/>
    </row>
    <row r="563" ht="14.25" customHeight="1">
      <c r="A563" s="10"/>
    </row>
    <row r="564" ht="14.25" customHeight="1">
      <c r="A564" s="10"/>
    </row>
    <row r="565" ht="14.25" customHeight="1">
      <c r="A565" s="10"/>
    </row>
    <row r="566" ht="14.25" customHeight="1">
      <c r="A566" s="10"/>
    </row>
    <row r="567" ht="14.25" customHeight="1">
      <c r="A567" s="10"/>
    </row>
    <row r="568" ht="14.25" customHeight="1">
      <c r="A568" s="10"/>
    </row>
    <row r="569" ht="14.25" customHeight="1">
      <c r="A569" s="10"/>
    </row>
    <row r="570" ht="14.25" customHeight="1">
      <c r="A570" s="10"/>
    </row>
    <row r="571" ht="14.25" customHeight="1">
      <c r="A571" s="10"/>
    </row>
    <row r="572" ht="14.25" customHeight="1">
      <c r="A572" s="10"/>
    </row>
    <row r="573" ht="14.25" customHeight="1">
      <c r="A573" s="10"/>
    </row>
    <row r="574" ht="14.25" customHeight="1">
      <c r="A574" s="10"/>
    </row>
    <row r="575" ht="14.25" customHeight="1">
      <c r="A575" s="10"/>
    </row>
    <row r="576" ht="14.25" customHeight="1">
      <c r="A576" s="10"/>
    </row>
    <row r="577" ht="14.25" customHeight="1">
      <c r="A577" s="10"/>
    </row>
    <row r="578" ht="14.25" customHeight="1">
      <c r="A578" s="10"/>
    </row>
    <row r="579" ht="14.25" customHeight="1">
      <c r="A579" s="10"/>
    </row>
    <row r="580" ht="14.25" customHeight="1">
      <c r="A580" s="10"/>
    </row>
    <row r="581" ht="14.25" customHeight="1">
      <c r="A581" s="10"/>
    </row>
    <row r="582" ht="14.25" customHeight="1">
      <c r="A582" s="10"/>
    </row>
    <row r="583" ht="14.25" customHeight="1">
      <c r="A583" s="10"/>
    </row>
    <row r="584" ht="14.25" customHeight="1">
      <c r="A584" s="10"/>
    </row>
    <row r="585" ht="14.25" customHeight="1">
      <c r="A585" s="10"/>
    </row>
    <row r="586" ht="14.25" customHeight="1">
      <c r="A586" s="10"/>
    </row>
    <row r="587" ht="14.25" customHeight="1">
      <c r="A587" s="10"/>
    </row>
    <row r="588" ht="14.25" customHeight="1">
      <c r="A588" s="10"/>
    </row>
    <row r="589" ht="14.25" customHeight="1">
      <c r="A589" s="10"/>
    </row>
    <row r="590" ht="14.25" customHeight="1">
      <c r="A590" s="10"/>
    </row>
    <row r="591" ht="14.25" customHeight="1">
      <c r="A591" s="10"/>
    </row>
    <row r="592" ht="14.25" customHeight="1">
      <c r="A592" s="10"/>
    </row>
    <row r="593" ht="14.25" customHeight="1">
      <c r="A593" s="10"/>
    </row>
    <row r="594" ht="14.25" customHeight="1">
      <c r="A594" s="10"/>
    </row>
    <row r="595" ht="14.25" customHeight="1">
      <c r="A595" s="10"/>
    </row>
    <row r="596" ht="14.25" customHeight="1">
      <c r="A596" s="10"/>
    </row>
    <row r="597" ht="14.25" customHeight="1">
      <c r="A597" s="10"/>
    </row>
    <row r="598" ht="14.25" customHeight="1">
      <c r="A598" s="10"/>
    </row>
    <row r="599" ht="14.25" customHeight="1">
      <c r="A599" s="10"/>
    </row>
    <row r="600" ht="14.25" customHeight="1">
      <c r="A600" s="10"/>
    </row>
    <row r="601" ht="14.25" customHeight="1">
      <c r="A601" s="10"/>
    </row>
    <row r="602" ht="14.25" customHeight="1">
      <c r="A602" s="10"/>
    </row>
    <row r="603" ht="14.25" customHeight="1">
      <c r="A603" s="10"/>
    </row>
    <row r="604" ht="14.25" customHeight="1">
      <c r="A604" s="10"/>
    </row>
    <row r="605" ht="14.25" customHeight="1">
      <c r="A605" s="10"/>
    </row>
    <row r="606" ht="14.25" customHeight="1">
      <c r="A606" s="10"/>
    </row>
    <row r="607" ht="14.25" customHeight="1">
      <c r="A607" s="10"/>
    </row>
    <row r="608" ht="14.25" customHeight="1">
      <c r="A608" s="10"/>
    </row>
    <row r="609" ht="14.25" customHeight="1">
      <c r="A609" s="10"/>
    </row>
    <row r="610" ht="14.25" customHeight="1">
      <c r="A610" s="10"/>
    </row>
    <row r="611" ht="14.25" customHeight="1">
      <c r="A611" s="10"/>
    </row>
    <row r="612" ht="14.25" customHeight="1">
      <c r="A612" s="10"/>
    </row>
    <row r="613" ht="14.25" customHeight="1">
      <c r="A613" s="10"/>
    </row>
    <row r="614" ht="14.25" customHeight="1">
      <c r="A614" s="10"/>
    </row>
    <row r="615" ht="14.25" customHeight="1">
      <c r="A615" s="10"/>
    </row>
    <row r="616" ht="14.25" customHeight="1">
      <c r="A616" s="10"/>
    </row>
    <row r="617" ht="14.25" customHeight="1">
      <c r="A617" s="10"/>
    </row>
    <row r="618" ht="14.25" customHeight="1">
      <c r="A618" s="10"/>
    </row>
    <row r="619" ht="14.25" customHeight="1">
      <c r="A619" s="10"/>
    </row>
    <row r="620" ht="14.25" customHeight="1">
      <c r="A620" s="10"/>
    </row>
    <row r="621" ht="14.25" customHeight="1">
      <c r="A621" s="10"/>
    </row>
    <row r="622" ht="14.25" customHeight="1">
      <c r="A622" s="10"/>
    </row>
    <row r="623" ht="14.25" customHeight="1">
      <c r="A623" s="10"/>
    </row>
    <row r="624" ht="14.25" customHeight="1">
      <c r="A624" s="10"/>
    </row>
    <row r="625" ht="14.25" customHeight="1">
      <c r="A625" s="10"/>
    </row>
    <row r="626" ht="14.25" customHeight="1">
      <c r="A626" s="10"/>
    </row>
    <row r="627" ht="14.25" customHeight="1">
      <c r="A627" s="10"/>
    </row>
    <row r="628" ht="14.25" customHeight="1">
      <c r="A628" s="10"/>
    </row>
    <row r="629" ht="14.25" customHeight="1">
      <c r="A629" s="10"/>
    </row>
    <row r="630" ht="14.25" customHeight="1">
      <c r="A630" s="10"/>
    </row>
    <row r="631" ht="14.25" customHeight="1">
      <c r="A631" s="10"/>
    </row>
    <row r="632" ht="14.25" customHeight="1">
      <c r="A632" s="10"/>
    </row>
    <row r="633" ht="14.25" customHeight="1">
      <c r="A633" s="10"/>
    </row>
    <row r="634" ht="14.25" customHeight="1">
      <c r="A634" s="10"/>
    </row>
    <row r="635" ht="14.25" customHeight="1">
      <c r="A635" s="10"/>
    </row>
    <row r="636" ht="14.25" customHeight="1">
      <c r="A636" s="10"/>
    </row>
    <row r="637" ht="14.25" customHeight="1">
      <c r="A637" s="10"/>
    </row>
    <row r="638" ht="14.25" customHeight="1">
      <c r="A638" s="10"/>
    </row>
    <row r="639" ht="14.25" customHeight="1">
      <c r="A639" s="10"/>
    </row>
    <row r="640" ht="14.25" customHeight="1">
      <c r="A640" s="10"/>
    </row>
    <row r="641" ht="14.25" customHeight="1">
      <c r="A641" s="10"/>
    </row>
    <row r="642" ht="14.25" customHeight="1">
      <c r="A642" s="10"/>
    </row>
    <row r="643" ht="14.25" customHeight="1">
      <c r="A643" s="10"/>
    </row>
    <row r="644" ht="14.25" customHeight="1">
      <c r="A644" s="10"/>
    </row>
    <row r="645" ht="14.25" customHeight="1">
      <c r="A645" s="10"/>
    </row>
    <row r="646" ht="14.25" customHeight="1">
      <c r="A646" s="10"/>
    </row>
    <row r="647" ht="14.25" customHeight="1">
      <c r="A647" s="10"/>
    </row>
    <row r="648" ht="14.25" customHeight="1">
      <c r="A648" s="10"/>
    </row>
    <row r="649" ht="14.25" customHeight="1">
      <c r="A649" s="10"/>
    </row>
    <row r="650" ht="14.25" customHeight="1">
      <c r="A650" s="10"/>
    </row>
    <row r="651" ht="14.25" customHeight="1">
      <c r="A651" s="10"/>
    </row>
    <row r="652" ht="14.25" customHeight="1">
      <c r="A652" s="10"/>
    </row>
    <row r="653" ht="14.25" customHeight="1">
      <c r="A653" s="10"/>
    </row>
    <row r="654" ht="14.25" customHeight="1">
      <c r="A654" s="10"/>
    </row>
    <row r="655" ht="14.25" customHeight="1">
      <c r="A655" s="10"/>
    </row>
    <row r="656" ht="14.25" customHeight="1">
      <c r="A656" s="10"/>
    </row>
    <row r="657" ht="14.25" customHeight="1">
      <c r="A657" s="10"/>
    </row>
    <row r="658" ht="14.25" customHeight="1">
      <c r="A658" s="10"/>
    </row>
    <row r="659" ht="14.25" customHeight="1">
      <c r="A659" s="10"/>
    </row>
    <row r="660" ht="14.25" customHeight="1">
      <c r="A660" s="10"/>
    </row>
    <row r="661" ht="14.25" customHeight="1">
      <c r="A661" s="10"/>
    </row>
    <row r="662" ht="14.25" customHeight="1">
      <c r="A662" s="10"/>
    </row>
    <row r="663" ht="14.25" customHeight="1">
      <c r="A663" s="10"/>
    </row>
    <row r="664" ht="14.25" customHeight="1">
      <c r="A664" s="10"/>
    </row>
    <row r="665" ht="14.25" customHeight="1">
      <c r="A665" s="10"/>
    </row>
    <row r="666" ht="14.25" customHeight="1">
      <c r="A666" s="10"/>
    </row>
    <row r="667" ht="14.25" customHeight="1">
      <c r="A667" s="10"/>
    </row>
    <row r="668" ht="14.25" customHeight="1">
      <c r="A668" s="10"/>
    </row>
    <row r="669" ht="14.25" customHeight="1">
      <c r="A669" s="10"/>
    </row>
    <row r="670" ht="14.25" customHeight="1">
      <c r="A670" s="10"/>
    </row>
    <row r="671" ht="14.25" customHeight="1">
      <c r="A671" s="10"/>
    </row>
    <row r="672" ht="14.25" customHeight="1">
      <c r="A672" s="10"/>
    </row>
    <row r="673" ht="14.25" customHeight="1">
      <c r="A673" s="10"/>
    </row>
    <row r="674" ht="14.25" customHeight="1">
      <c r="A674" s="10"/>
    </row>
    <row r="675" ht="14.25" customHeight="1">
      <c r="A675" s="10"/>
    </row>
    <row r="676" ht="14.25" customHeight="1">
      <c r="A676" s="10"/>
    </row>
    <row r="677" ht="14.25" customHeight="1">
      <c r="A677" s="10"/>
    </row>
    <row r="678" ht="14.25" customHeight="1">
      <c r="A678" s="10"/>
    </row>
    <row r="679" ht="14.25" customHeight="1">
      <c r="A679" s="10"/>
    </row>
    <row r="680" ht="14.25" customHeight="1">
      <c r="A680" s="10"/>
    </row>
    <row r="681" ht="14.25" customHeight="1">
      <c r="A681" s="10"/>
    </row>
    <row r="682" ht="14.25" customHeight="1">
      <c r="A682" s="10"/>
    </row>
    <row r="683" ht="14.25" customHeight="1">
      <c r="A683" s="10"/>
    </row>
    <row r="684" ht="14.25" customHeight="1">
      <c r="A684" s="10"/>
    </row>
    <row r="685" ht="14.25" customHeight="1">
      <c r="A685" s="10"/>
    </row>
    <row r="686" ht="14.25" customHeight="1">
      <c r="A686" s="10"/>
    </row>
    <row r="687" ht="14.25" customHeight="1">
      <c r="A687" s="10"/>
    </row>
    <row r="688" ht="14.25" customHeight="1">
      <c r="A688" s="10"/>
    </row>
    <row r="689" ht="14.25" customHeight="1">
      <c r="A689" s="10"/>
    </row>
    <row r="690" ht="14.25" customHeight="1">
      <c r="A690" s="10"/>
    </row>
    <row r="691" ht="14.25" customHeight="1">
      <c r="A691" s="10"/>
    </row>
    <row r="692" ht="14.25" customHeight="1">
      <c r="A692" s="10"/>
    </row>
    <row r="693" ht="14.25" customHeight="1">
      <c r="A693" s="10"/>
    </row>
    <row r="694" ht="14.25" customHeight="1">
      <c r="A694" s="10"/>
    </row>
    <row r="695" ht="14.25" customHeight="1">
      <c r="A695" s="10"/>
    </row>
    <row r="696" ht="14.25" customHeight="1">
      <c r="A696" s="10"/>
    </row>
    <row r="697" ht="14.25" customHeight="1">
      <c r="A697" s="10"/>
    </row>
    <row r="698" ht="14.25" customHeight="1">
      <c r="A698" s="10"/>
    </row>
    <row r="699" ht="14.25" customHeight="1">
      <c r="A699" s="10"/>
    </row>
    <row r="700" ht="14.25" customHeight="1">
      <c r="A700" s="10"/>
    </row>
    <row r="701" ht="14.25" customHeight="1">
      <c r="A701" s="10"/>
    </row>
    <row r="702" ht="14.25" customHeight="1">
      <c r="A702" s="10"/>
    </row>
    <row r="703" ht="14.25" customHeight="1">
      <c r="A703" s="10"/>
    </row>
    <row r="704" ht="14.25" customHeight="1">
      <c r="A704" s="10"/>
    </row>
    <row r="705" ht="14.25" customHeight="1">
      <c r="A705" s="10"/>
    </row>
    <row r="706" ht="14.25" customHeight="1">
      <c r="A706" s="10"/>
    </row>
    <row r="707" ht="14.25" customHeight="1">
      <c r="A707" s="10"/>
    </row>
    <row r="708" ht="14.25" customHeight="1">
      <c r="A708" s="10"/>
    </row>
    <row r="709" ht="14.25" customHeight="1">
      <c r="A709" s="10"/>
    </row>
    <row r="710" ht="14.25" customHeight="1">
      <c r="A710" s="10"/>
    </row>
    <row r="711" ht="14.25" customHeight="1">
      <c r="A711" s="10"/>
    </row>
    <row r="712" ht="14.25" customHeight="1">
      <c r="A712" s="10"/>
    </row>
    <row r="713" ht="14.25" customHeight="1">
      <c r="A713" s="10"/>
    </row>
    <row r="714" ht="14.25" customHeight="1">
      <c r="A714" s="10"/>
    </row>
    <row r="715" ht="14.25" customHeight="1">
      <c r="A715" s="10"/>
    </row>
    <row r="716" ht="14.25" customHeight="1">
      <c r="A716" s="10"/>
    </row>
    <row r="717" ht="14.25" customHeight="1">
      <c r="A717" s="10"/>
    </row>
    <row r="718" ht="14.25" customHeight="1">
      <c r="A718" s="10"/>
    </row>
    <row r="719" ht="14.25" customHeight="1">
      <c r="A719" s="10"/>
    </row>
    <row r="720" ht="14.25" customHeight="1">
      <c r="A720" s="10"/>
    </row>
    <row r="721" ht="14.25" customHeight="1">
      <c r="A721" s="10"/>
    </row>
    <row r="722" ht="14.25" customHeight="1">
      <c r="A722" s="10"/>
    </row>
    <row r="723" ht="14.25" customHeight="1">
      <c r="A723" s="10"/>
    </row>
    <row r="724" ht="14.25" customHeight="1">
      <c r="A724" s="10"/>
    </row>
    <row r="725" ht="14.25" customHeight="1">
      <c r="A725" s="10"/>
    </row>
    <row r="726" ht="14.25" customHeight="1">
      <c r="A726" s="10"/>
    </row>
    <row r="727" ht="14.25" customHeight="1">
      <c r="A727" s="10"/>
    </row>
    <row r="728" ht="14.25" customHeight="1">
      <c r="A728" s="10"/>
    </row>
    <row r="729" ht="14.25" customHeight="1">
      <c r="A729" s="10"/>
    </row>
    <row r="730" ht="14.25" customHeight="1">
      <c r="A730" s="10"/>
    </row>
    <row r="731" ht="14.25" customHeight="1">
      <c r="A731" s="10"/>
    </row>
    <row r="732" ht="14.25" customHeight="1">
      <c r="A732" s="10"/>
    </row>
    <row r="733" ht="14.25" customHeight="1">
      <c r="A733" s="10"/>
    </row>
    <row r="734" ht="14.25" customHeight="1">
      <c r="A734" s="10"/>
    </row>
    <row r="735" ht="14.25" customHeight="1">
      <c r="A735" s="10"/>
    </row>
    <row r="736" ht="14.25" customHeight="1">
      <c r="A736" s="10"/>
    </row>
    <row r="737" ht="14.25" customHeight="1">
      <c r="A737" s="10"/>
    </row>
    <row r="738" ht="14.25" customHeight="1">
      <c r="A738" s="10"/>
    </row>
    <row r="739" ht="14.25" customHeight="1">
      <c r="A739" s="10"/>
    </row>
    <row r="740" ht="14.25" customHeight="1">
      <c r="A740" s="10"/>
    </row>
    <row r="741" ht="14.25" customHeight="1">
      <c r="A741" s="10"/>
    </row>
    <row r="742" ht="14.25" customHeight="1">
      <c r="A742" s="10"/>
    </row>
    <row r="743" ht="14.25" customHeight="1">
      <c r="A743" s="10"/>
    </row>
    <row r="744" ht="14.25" customHeight="1">
      <c r="A744" s="10"/>
    </row>
    <row r="745" ht="14.25" customHeight="1">
      <c r="A745" s="10"/>
    </row>
    <row r="746" ht="14.25" customHeight="1">
      <c r="A746" s="10"/>
    </row>
    <row r="747" ht="14.25" customHeight="1">
      <c r="A747" s="10"/>
    </row>
    <row r="748" ht="14.25" customHeight="1">
      <c r="A748" s="10"/>
    </row>
    <row r="749" ht="14.25" customHeight="1">
      <c r="A749" s="10"/>
    </row>
    <row r="750" ht="14.25" customHeight="1">
      <c r="A750" s="10"/>
    </row>
    <row r="751" ht="14.25" customHeight="1">
      <c r="A751" s="10"/>
    </row>
    <row r="752" ht="14.25" customHeight="1">
      <c r="A752" s="10"/>
    </row>
    <row r="753" ht="14.25" customHeight="1">
      <c r="A753" s="10"/>
    </row>
    <row r="754" ht="14.25" customHeight="1">
      <c r="A754" s="10"/>
    </row>
    <row r="755" ht="14.25" customHeight="1">
      <c r="A755" s="10"/>
    </row>
    <row r="756" ht="14.25" customHeight="1">
      <c r="A756" s="10"/>
    </row>
    <row r="757" ht="14.25" customHeight="1">
      <c r="A757" s="10"/>
    </row>
    <row r="758" ht="14.25" customHeight="1">
      <c r="A758" s="10"/>
    </row>
    <row r="759" ht="14.25" customHeight="1">
      <c r="A759" s="10"/>
    </row>
    <row r="760" ht="14.25" customHeight="1">
      <c r="A760" s="10"/>
    </row>
    <row r="761" ht="14.25" customHeight="1">
      <c r="A761" s="10"/>
    </row>
    <row r="762" ht="14.25" customHeight="1">
      <c r="A762" s="10"/>
    </row>
    <row r="763" ht="14.25" customHeight="1">
      <c r="A763" s="10"/>
    </row>
    <row r="764" ht="14.25" customHeight="1">
      <c r="A764" s="10"/>
    </row>
    <row r="765" ht="14.25" customHeight="1">
      <c r="A765" s="10"/>
    </row>
    <row r="766" ht="14.25" customHeight="1">
      <c r="A766" s="10"/>
    </row>
    <row r="767" ht="14.25" customHeight="1">
      <c r="A767" s="10"/>
    </row>
    <row r="768" ht="14.25" customHeight="1">
      <c r="A768" s="10"/>
    </row>
    <row r="769" ht="14.25" customHeight="1">
      <c r="A769" s="10"/>
    </row>
    <row r="770" ht="14.25" customHeight="1">
      <c r="A770" s="10"/>
    </row>
    <row r="771" ht="14.25" customHeight="1">
      <c r="A771" s="10"/>
    </row>
    <row r="772" ht="14.25" customHeight="1">
      <c r="A772" s="10"/>
    </row>
    <row r="773" ht="14.25" customHeight="1">
      <c r="A773" s="10"/>
    </row>
    <row r="774" ht="14.25" customHeight="1">
      <c r="A774" s="10"/>
    </row>
    <row r="775" ht="14.25" customHeight="1">
      <c r="A775" s="10"/>
    </row>
    <row r="776" ht="14.25" customHeight="1">
      <c r="A776" s="10"/>
    </row>
    <row r="777" ht="14.25" customHeight="1">
      <c r="A777" s="10"/>
    </row>
    <row r="778" ht="14.25" customHeight="1">
      <c r="A778" s="10"/>
    </row>
    <row r="779" ht="14.25" customHeight="1">
      <c r="A779" s="10"/>
    </row>
    <row r="780" ht="14.25" customHeight="1">
      <c r="A780" s="10"/>
    </row>
    <row r="781" ht="14.25" customHeight="1">
      <c r="A781" s="10"/>
    </row>
    <row r="782" ht="14.25" customHeight="1">
      <c r="A782" s="10"/>
    </row>
    <row r="783" ht="14.25" customHeight="1">
      <c r="A783" s="10"/>
    </row>
    <row r="784" ht="14.25" customHeight="1">
      <c r="A784" s="10"/>
    </row>
    <row r="785" ht="14.25" customHeight="1">
      <c r="A785" s="10"/>
    </row>
    <row r="786" ht="14.25" customHeight="1">
      <c r="A786" s="10"/>
    </row>
    <row r="787" ht="14.25" customHeight="1">
      <c r="A787" s="10"/>
    </row>
    <row r="788" ht="14.25" customHeight="1">
      <c r="A788" s="10"/>
    </row>
    <row r="789" ht="14.25" customHeight="1">
      <c r="A789" s="10"/>
    </row>
    <row r="790" ht="14.25" customHeight="1">
      <c r="A790" s="10"/>
    </row>
    <row r="791" ht="14.25" customHeight="1">
      <c r="A791" s="10"/>
    </row>
    <row r="792" ht="14.25" customHeight="1">
      <c r="A792" s="10"/>
    </row>
    <row r="793" ht="14.25" customHeight="1">
      <c r="A793" s="10"/>
    </row>
    <row r="794" ht="14.25" customHeight="1">
      <c r="A794" s="10"/>
    </row>
    <row r="795" ht="14.25" customHeight="1">
      <c r="A795" s="10"/>
    </row>
    <row r="796" ht="14.25" customHeight="1">
      <c r="A796" s="10"/>
    </row>
    <row r="797" ht="14.25" customHeight="1">
      <c r="A797" s="10"/>
    </row>
    <row r="798" ht="14.25" customHeight="1">
      <c r="A798" s="10"/>
    </row>
    <row r="799" ht="14.25" customHeight="1">
      <c r="A799" s="10"/>
    </row>
    <row r="800" ht="14.25" customHeight="1">
      <c r="A800" s="10"/>
    </row>
    <row r="801" ht="14.25" customHeight="1">
      <c r="A801" s="10"/>
    </row>
    <row r="802" ht="14.25" customHeight="1">
      <c r="A802" s="10"/>
    </row>
    <row r="803" ht="14.25" customHeight="1">
      <c r="A803" s="10"/>
    </row>
    <row r="804" ht="14.25" customHeight="1">
      <c r="A804" s="10"/>
    </row>
    <row r="805" ht="14.25" customHeight="1">
      <c r="A805" s="10"/>
    </row>
    <row r="806" ht="14.25" customHeight="1">
      <c r="A806" s="10"/>
    </row>
    <row r="807" ht="14.25" customHeight="1">
      <c r="A807" s="10"/>
    </row>
    <row r="808" ht="14.25" customHeight="1">
      <c r="A808" s="10"/>
    </row>
    <row r="809" ht="14.25" customHeight="1">
      <c r="A809" s="10"/>
    </row>
    <row r="810" ht="14.25" customHeight="1">
      <c r="A810" s="10"/>
    </row>
    <row r="811" ht="14.25" customHeight="1">
      <c r="A811" s="10"/>
    </row>
    <row r="812" ht="14.25" customHeight="1">
      <c r="A812" s="10"/>
    </row>
    <row r="813" ht="14.25" customHeight="1">
      <c r="A813" s="10"/>
    </row>
    <row r="814" ht="14.25" customHeight="1">
      <c r="A814" s="10"/>
    </row>
    <row r="815" ht="14.25" customHeight="1">
      <c r="A815" s="10"/>
    </row>
    <row r="816" ht="14.25" customHeight="1">
      <c r="A816" s="10"/>
    </row>
    <row r="817" ht="14.25" customHeight="1">
      <c r="A817" s="10"/>
    </row>
    <row r="818" ht="14.25" customHeight="1">
      <c r="A818" s="10"/>
    </row>
    <row r="819" ht="14.25" customHeight="1">
      <c r="A819" s="10"/>
    </row>
    <row r="820" ht="14.25" customHeight="1">
      <c r="A820" s="10"/>
    </row>
    <row r="821" ht="14.25" customHeight="1">
      <c r="A821" s="10"/>
    </row>
    <row r="822" ht="14.25" customHeight="1">
      <c r="A822" s="10"/>
    </row>
    <row r="823" ht="14.25" customHeight="1">
      <c r="A823" s="10"/>
    </row>
    <row r="824" ht="14.25" customHeight="1">
      <c r="A824" s="10"/>
    </row>
    <row r="825" ht="14.25" customHeight="1">
      <c r="A825" s="10"/>
    </row>
    <row r="826" ht="14.25" customHeight="1">
      <c r="A826" s="10"/>
    </row>
    <row r="827" ht="14.25" customHeight="1">
      <c r="A827" s="10"/>
    </row>
    <row r="828" ht="14.25" customHeight="1">
      <c r="A828" s="10"/>
    </row>
    <row r="829" ht="14.25" customHeight="1">
      <c r="A829" s="10"/>
    </row>
    <row r="830" ht="14.25" customHeight="1">
      <c r="A830" s="10"/>
    </row>
    <row r="831" ht="14.25" customHeight="1">
      <c r="A831" s="10"/>
    </row>
    <row r="832" ht="14.25" customHeight="1">
      <c r="A832" s="10"/>
    </row>
    <row r="833" ht="14.25" customHeight="1">
      <c r="A833" s="10"/>
    </row>
    <row r="834" ht="14.25" customHeight="1">
      <c r="A834" s="10"/>
    </row>
    <row r="835" ht="14.25" customHeight="1">
      <c r="A835" s="10"/>
    </row>
    <row r="836" ht="14.25" customHeight="1">
      <c r="A836" s="10"/>
    </row>
    <row r="837" ht="14.25" customHeight="1">
      <c r="A837" s="10"/>
    </row>
    <row r="838" ht="14.25" customHeight="1">
      <c r="A838" s="10"/>
    </row>
    <row r="839" ht="14.25" customHeight="1">
      <c r="A839" s="10"/>
    </row>
    <row r="840" ht="14.25" customHeight="1">
      <c r="A840" s="10"/>
    </row>
    <row r="841" ht="14.25" customHeight="1">
      <c r="A841" s="10"/>
    </row>
    <row r="842" ht="14.25" customHeight="1">
      <c r="A842" s="10"/>
    </row>
    <row r="843" ht="14.25" customHeight="1">
      <c r="A843" s="10"/>
    </row>
    <row r="844" ht="14.25" customHeight="1">
      <c r="A844" s="10"/>
    </row>
    <row r="845" ht="14.25" customHeight="1">
      <c r="A845" s="10"/>
    </row>
    <row r="846" ht="14.25" customHeight="1">
      <c r="A846" s="10"/>
    </row>
    <row r="847" ht="14.25" customHeight="1">
      <c r="A847" s="10"/>
    </row>
    <row r="848" ht="14.25" customHeight="1">
      <c r="A848" s="10"/>
    </row>
    <row r="849" ht="14.25" customHeight="1">
      <c r="A849" s="10"/>
    </row>
    <row r="850" ht="14.25" customHeight="1">
      <c r="A850" s="10"/>
    </row>
    <row r="851" ht="14.25" customHeight="1">
      <c r="A851" s="10"/>
    </row>
    <row r="852" ht="14.25" customHeight="1">
      <c r="A852" s="10"/>
    </row>
    <row r="853" ht="14.25" customHeight="1">
      <c r="A853" s="10"/>
    </row>
    <row r="854" ht="14.25" customHeight="1">
      <c r="A854" s="10"/>
    </row>
    <row r="855" ht="14.25" customHeight="1">
      <c r="A855" s="10"/>
    </row>
    <row r="856" ht="14.25" customHeight="1">
      <c r="A856" s="10"/>
    </row>
    <row r="857" ht="14.25" customHeight="1">
      <c r="A857" s="10"/>
    </row>
    <row r="858" ht="14.25" customHeight="1">
      <c r="A858" s="10"/>
    </row>
    <row r="859" ht="14.25" customHeight="1">
      <c r="A859" s="10"/>
    </row>
    <row r="860" ht="14.25" customHeight="1">
      <c r="A860" s="10"/>
    </row>
    <row r="861" ht="14.25" customHeight="1">
      <c r="A861" s="10"/>
    </row>
    <row r="862" ht="14.25" customHeight="1">
      <c r="A862" s="10"/>
    </row>
    <row r="863" ht="14.25" customHeight="1">
      <c r="A863" s="10"/>
    </row>
    <row r="864" ht="14.25" customHeight="1">
      <c r="A864" s="10"/>
    </row>
    <row r="865" ht="14.25" customHeight="1">
      <c r="A865" s="10"/>
    </row>
    <row r="866" ht="14.25" customHeight="1">
      <c r="A866" s="10"/>
    </row>
    <row r="867" ht="14.25" customHeight="1">
      <c r="A867" s="10"/>
    </row>
    <row r="868" ht="14.25" customHeight="1">
      <c r="A868" s="10"/>
    </row>
    <row r="869" ht="14.25" customHeight="1">
      <c r="A869" s="10"/>
    </row>
    <row r="870" ht="14.25" customHeight="1">
      <c r="A870" s="10"/>
    </row>
    <row r="871" ht="14.25" customHeight="1">
      <c r="A871" s="10"/>
    </row>
    <row r="872" ht="14.25" customHeight="1">
      <c r="A872" s="10"/>
    </row>
    <row r="873" ht="14.25" customHeight="1">
      <c r="A873" s="10"/>
    </row>
    <row r="874" ht="14.25" customHeight="1">
      <c r="A874" s="10"/>
    </row>
    <row r="875" ht="14.25" customHeight="1">
      <c r="A875" s="10"/>
    </row>
    <row r="876" ht="14.25" customHeight="1">
      <c r="A876" s="10"/>
    </row>
    <row r="877" ht="14.25" customHeight="1">
      <c r="A877" s="10"/>
    </row>
    <row r="878" ht="14.25" customHeight="1">
      <c r="A878" s="10"/>
    </row>
    <row r="879" ht="14.25" customHeight="1">
      <c r="A879" s="10"/>
    </row>
    <row r="880" ht="14.25" customHeight="1">
      <c r="A880" s="10"/>
    </row>
    <row r="881" ht="14.25" customHeight="1">
      <c r="A881" s="10"/>
    </row>
    <row r="882" ht="14.25" customHeight="1">
      <c r="A882" s="10"/>
    </row>
    <row r="883" ht="14.25" customHeight="1">
      <c r="A883" s="10"/>
    </row>
    <row r="884" ht="14.25" customHeight="1">
      <c r="A884" s="10"/>
    </row>
    <row r="885" ht="14.25" customHeight="1">
      <c r="A885" s="10"/>
    </row>
    <row r="886" ht="14.25" customHeight="1">
      <c r="A886" s="10"/>
    </row>
    <row r="887" ht="14.25" customHeight="1">
      <c r="A887" s="10"/>
    </row>
    <row r="888" ht="14.25" customHeight="1">
      <c r="A888" s="10"/>
    </row>
    <row r="889" ht="14.25" customHeight="1">
      <c r="A889" s="10"/>
    </row>
    <row r="890" ht="14.25" customHeight="1">
      <c r="A890" s="10"/>
    </row>
    <row r="891" ht="14.25" customHeight="1">
      <c r="A891" s="10"/>
    </row>
    <row r="892" ht="14.25" customHeight="1">
      <c r="A892" s="10"/>
    </row>
    <row r="893" ht="14.25" customHeight="1">
      <c r="A893" s="10"/>
    </row>
    <row r="894" ht="14.25" customHeight="1">
      <c r="A894" s="10"/>
    </row>
    <row r="895" ht="14.25" customHeight="1">
      <c r="A895" s="10"/>
    </row>
    <row r="896" ht="14.25" customHeight="1">
      <c r="A896" s="10"/>
    </row>
    <row r="897" ht="14.25" customHeight="1">
      <c r="A897" s="10"/>
    </row>
    <row r="898" ht="14.25" customHeight="1">
      <c r="A898" s="10"/>
    </row>
    <row r="899" ht="14.25" customHeight="1">
      <c r="A899" s="10"/>
    </row>
    <row r="900" ht="14.25" customHeight="1">
      <c r="A900" s="10"/>
    </row>
    <row r="901" ht="14.25" customHeight="1">
      <c r="A901" s="10"/>
    </row>
    <row r="902" ht="14.25" customHeight="1">
      <c r="A902" s="10"/>
    </row>
    <row r="903" ht="14.25" customHeight="1">
      <c r="A903" s="10"/>
    </row>
    <row r="904" ht="14.25" customHeight="1">
      <c r="A904" s="10"/>
    </row>
    <row r="905" ht="14.25" customHeight="1">
      <c r="A905" s="10"/>
    </row>
    <row r="906" ht="14.25" customHeight="1">
      <c r="A906" s="10"/>
    </row>
    <row r="907" ht="14.25" customHeight="1">
      <c r="A907" s="10"/>
    </row>
    <row r="908" ht="14.25" customHeight="1">
      <c r="A908" s="10"/>
    </row>
    <row r="909" ht="14.25" customHeight="1">
      <c r="A909" s="10"/>
    </row>
    <row r="910" ht="14.25" customHeight="1">
      <c r="A910" s="10"/>
    </row>
    <row r="911" ht="14.25" customHeight="1">
      <c r="A911" s="10"/>
    </row>
    <row r="912" ht="14.25" customHeight="1">
      <c r="A912" s="10"/>
    </row>
    <row r="913" ht="14.25" customHeight="1">
      <c r="A913" s="10"/>
    </row>
    <row r="914" ht="14.25" customHeight="1">
      <c r="A914" s="10"/>
    </row>
    <row r="915" ht="14.25" customHeight="1">
      <c r="A915" s="10"/>
    </row>
    <row r="916" ht="14.25" customHeight="1">
      <c r="A916" s="10"/>
    </row>
    <row r="917" ht="14.25" customHeight="1">
      <c r="A917" s="10"/>
    </row>
    <row r="918" ht="14.25" customHeight="1">
      <c r="A918" s="10"/>
    </row>
    <row r="919" ht="14.25" customHeight="1">
      <c r="A919" s="10"/>
    </row>
    <row r="920" ht="14.25" customHeight="1">
      <c r="A920" s="10"/>
    </row>
    <row r="921" ht="14.25" customHeight="1">
      <c r="A921" s="10"/>
    </row>
    <row r="922" ht="14.25" customHeight="1">
      <c r="A922" s="10"/>
    </row>
    <row r="923" ht="14.25" customHeight="1">
      <c r="A923" s="10"/>
    </row>
    <row r="924" ht="14.25" customHeight="1">
      <c r="A924" s="10"/>
    </row>
    <row r="925" ht="14.25" customHeight="1">
      <c r="A925" s="10"/>
    </row>
    <row r="926" ht="14.25" customHeight="1">
      <c r="A926" s="10"/>
    </row>
    <row r="927" ht="14.25" customHeight="1">
      <c r="A927" s="10"/>
    </row>
    <row r="928" ht="14.25" customHeight="1">
      <c r="A928" s="10"/>
    </row>
    <row r="929" ht="14.25" customHeight="1">
      <c r="A929" s="10"/>
    </row>
    <row r="930" ht="14.25" customHeight="1">
      <c r="A930" s="10"/>
    </row>
    <row r="931" ht="14.25" customHeight="1">
      <c r="A931" s="10"/>
    </row>
    <row r="932" ht="14.25" customHeight="1">
      <c r="A932" s="10"/>
    </row>
    <row r="933" ht="14.25" customHeight="1">
      <c r="A933" s="10"/>
    </row>
    <row r="934" ht="14.25" customHeight="1">
      <c r="A934" s="10"/>
    </row>
    <row r="935" ht="14.25" customHeight="1">
      <c r="A935" s="10"/>
    </row>
    <row r="936" ht="14.25" customHeight="1">
      <c r="A936" s="10"/>
    </row>
    <row r="937" ht="14.25" customHeight="1">
      <c r="A937" s="10"/>
    </row>
    <row r="938" ht="14.25" customHeight="1">
      <c r="A938" s="10"/>
    </row>
    <row r="939" ht="14.25" customHeight="1">
      <c r="A939" s="10"/>
    </row>
    <row r="940" ht="14.25" customHeight="1">
      <c r="A940" s="10"/>
    </row>
    <row r="941" ht="14.25" customHeight="1">
      <c r="A941" s="10"/>
    </row>
    <row r="942" ht="14.25" customHeight="1">
      <c r="A942" s="10"/>
    </row>
    <row r="943" ht="14.25" customHeight="1">
      <c r="A943" s="10"/>
    </row>
    <row r="944" ht="14.25" customHeight="1">
      <c r="A944" s="10"/>
    </row>
    <row r="945" ht="14.25" customHeight="1">
      <c r="A945" s="10"/>
    </row>
    <row r="946" ht="14.25" customHeight="1">
      <c r="A946" s="10"/>
    </row>
    <row r="947" ht="14.25" customHeight="1">
      <c r="A947" s="10"/>
    </row>
    <row r="948" ht="14.25" customHeight="1">
      <c r="A948" s="10"/>
    </row>
    <row r="949" ht="14.25" customHeight="1">
      <c r="A949" s="10"/>
    </row>
    <row r="950" ht="14.25" customHeight="1">
      <c r="A950" s="10"/>
    </row>
    <row r="951" ht="14.25" customHeight="1">
      <c r="A951" s="10"/>
    </row>
    <row r="952" ht="14.25" customHeight="1">
      <c r="A952" s="10"/>
    </row>
    <row r="953" ht="14.25" customHeight="1">
      <c r="A953" s="10"/>
    </row>
    <row r="954" ht="14.25" customHeight="1">
      <c r="A954" s="10"/>
    </row>
    <row r="955" ht="14.25" customHeight="1">
      <c r="A955" s="10"/>
    </row>
    <row r="956" ht="14.25" customHeight="1">
      <c r="A956" s="10"/>
    </row>
    <row r="957" ht="14.25" customHeight="1">
      <c r="A957" s="10"/>
    </row>
    <row r="958" ht="14.25" customHeight="1">
      <c r="A958" s="10"/>
    </row>
    <row r="959" ht="14.25" customHeight="1">
      <c r="A959" s="10"/>
    </row>
    <row r="960" ht="14.25" customHeight="1">
      <c r="A960" s="10"/>
    </row>
    <row r="961" ht="14.25" customHeight="1">
      <c r="A961" s="10"/>
    </row>
    <row r="962" ht="14.25" customHeight="1">
      <c r="A962" s="10"/>
    </row>
    <row r="963" ht="14.25" customHeight="1">
      <c r="A963" s="10"/>
    </row>
    <row r="964" ht="14.25" customHeight="1">
      <c r="A964" s="10"/>
    </row>
    <row r="965" ht="14.25" customHeight="1">
      <c r="A965" s="10"/>
    </row>
    <row r="966" ht="14.25" customHeight="1">
      <c r="A966" s="10"/>
    </row>
    <row r="967" ht="14.25" customHeight="1">
      <c r="A967" s="10"/>
    </row>
    <row r="968" ht="14.25" customHeight="1">
      <c r="A968" s="10"/>
    </row>
    <row r="969" ht="14.25" customHeight="1">
      <c r="A969" s="10"/>
    </row>
    <row r="970" ht="14.25" customHeight="1">
      <c r="A970" s="10"/>
    </row>
    <row r="971" ht="14.25" customHeight="1">
      <c r="A971" s="10"/>
    </row>
    <row r="972" ht="14.25" customHeight="1">
      <c r="A972" s="10"/>
    </row>
    <row r="973" ht="14.25" customHeight="1">
      <c r="A973" s="10"/>
    </row>
    <row r="974" ht="14.25" customHeight="1">
      <c r="A974" s="10"/>
    </row>
    <row r="975" ht="14.25" customHeight="1">
      <c r="A975" s="10"/>
    </row>
    <row r="976" ht="14.25" customHeight="1">
      <c r="A976" s="10"/>
    </row>
    <row r="977" ht="14.25" customHeight="1">
      <c r="A977" s="10"/>
    </row>
    <row r="978" ht="14.25" customHeight="1">
      <c r="A978" s="10"/>
    </row>
    <row r="979" ht="14.25" customHeight="1">
      <c r="A979" s="10"/>
    </row>
    <row r="980" ht="14.25" customHeight="1">
      <c r="A980" s="10"/>
    </row>
    <row r="981" ht="14.25" customHeight="1">
      <c r="A981" s="10"/>
    </row>
    <row r="982" ht="14.25" customHeight="1">
      <c r="A982" s="10"/>
    </row>
    <row r="983" ht="14.25" customHeight="1">
      <c r="A983" s="10"/>
    </row>
    <row r="984" ht="14.25" customHeight="1">
      <c r="A984" s="10"/>
    </row>
    <row r="985" ht="14.25" customHeight="1">
      <c r="A985" s="10"/>
    </row>
    <row r="986" ht="14.25" customHeight="1">
      <c r="A986" s="10"/>
    </row>
    <row r="987" ht="14.25" customHeight="1">
      <c r="A987" s="10"/>
    </row>
    <row r="988" ht="14.25" customHeight="1">
      <c r="A988" s="10"/>
    </row>
    <row r="989" ht="14.25" customHeight="1">
      <c r="A989" s="10"/>
    </row>
    <row r="990" ht="14.25" customHeight="1">
      <c r="A990" s="10"/>
    </row>
    <row r="991" ht="14.25" customHeight="1">
      <c r="A991" s="10"/>
    </row>
    <row r="992" ht="14.25" customHeight="1">
      <c r="A992" s="10"/>
    </row>
    <row r="993" ht="14.25" customHeight="1">
      <c r="A993" s="10"/>
    </row>
    <row r="994" ht="14.25" customHeight="1">
      <c r="A994" s="10"/>
    </row>
    <row r="995" ht="14.25" customHeight="1">
      <c r="A995" s="10"/>
    </row>
    <row r="996" ht="14.25" customHeight="1">
      <c r="A996" s="10"/>
    </row>
    <row r="997" ht="14.25" customHeight="1">
      <c r="A997" s="10"/>
    </row>
    <row r="998" ht="14.25" customHeight="1">
      <c r="A998" s="10"/>
    </row>
    <row r="999" ht="14.25" customHeight="1">
      <c r="A999" s="10"/>
    </row>
    <row r="1000" ht="14.25" customHeight="1">
      <c r="A1000" s="10"/>
    </row>
  </sheetData>
  <printOptions/>
  <pageMargins bottom="0.75" footer="0.0" header="0.0" left="0.7" right="0.7" top="0.75"/>
  <pageSetup orientation="landscape"/>
  <drawing r:id="rId1"/>
</worksheet>
</file>